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64" windowHeight="24460" tabRatio="625" activeTab="4"/>
  </bookViews>
  <sheets>
    <sheet name="报价汇总" sheetId="99" r:id="rId1"/>
    <sheet name="M3补息版65.78平   " sheetId="82" r:id="rId2"/>
    <sheet name="Sheet1" sheetId="100" r:id="rId3"/>
    <sheet name="Sheet2" sheetId="101" r:id="rId4"/>
    <sheet name="Sheet3" sheetId="102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<sst xmlns="http://schemas.openxmlformats.org/spreadsheetml/2006/main" count="335" uniqueCount="217">
  <si>
    <t>业之峰装饰主材包预算清单</t>
  </si>
  <si>
    <t>“是的，如果想装修满意又不超支，请让我为您做得更好！”</t>
  </si>
  <si>
    <t>客户姓名</t>
  </si>
  <si>
    <t>联系电话</t>
  </si>
  <si>
    <t>套内建筑面积(㎡)</t>
  </si>
  <si>
    <t>居室结构</t>
  </si>
  <si>
    <t>室1厅1厨</t>
  </si>
  <si>
    <t>卫</t>
  </si>
  <si>
    <t>设计风格</t>
  </si>
  <si>
    <t>工程地址</t>
  </si>
  <si>
    <t>世华泊郡</t>
  </si>
  <si>
    <t>优惠协议</t>
  </si>
  <si>
    <t>首签优惠+预排雷服务</t>
  </si>
  <si>
    <t>设计师</t>
  </si>
  <si>
    <t>刘春红</t>
  </si>
  <si>
    <t>设计部门</t>
  </si>
  <si>
    <t>西峰尚</t>
  </si>
  <si>
    <t>家居顾问</t>
  </si>
  <si>
    <t>序号</t>
  </si>
  <si>
    <t>项目</t>
  </si>
  <si>
    <t>价格</t>
  </si>
  <si>
    <t>优惠</t>
  </si>
  <si>
    <t>活动</t>
  </si>
  <si>
    <t>M3报价</t>
  </si>
  <si>
    <r>
      <t>（3选1）置换换购券= 签约面积*40=（65.79*40）=2631.6元换购券、（2选1）1、新房预售=（65.79-50）*120=1894.8元换购券，超优惠送5000元换购券，合计</t>
    </r>
    <r>
      <rPr>
        <sz val="12"/>
        <color indexed="10"/>
        <rFont val="微软雅黑"/>
        <family val="2"/>
        <charset val="134"/>
      </rPr>
      <t>9526.4</t>
    </r>
    <r>
      <rPr>
        <sz val="12"/>
        <color indexed="8"/>
        <rFont val="微软雅黑"/>
        <family val="2"/>
        <charset val="134"/>
      </rPr>
      <t>元换购券。                                                                      首期预售款免单10%：免单额=《预售合同款》的首期款（20%-50%）* 10% =（首期款50%：74604.5）*10%=7460.45元                                                             额外追加2个点2985.18元、内购卡1个点1492.09元，合计</t>
    </r>
    <r>
      <rPr>
        <sz val="12"/>
        <color indexed="10"/>
        <rFont val="微软雅黑"/>
        <family val="2"/>
        <charset val="134"/>
      </rPr>
      <t>11936.72</t>
    </r>
    <r>
      <rPr>
        <sz val="12"/>
        <color indexed="8"/>
        <rFont val="微软雅黑"/>
        <family val="2"/>
        <charset val="134"/>
      </rPr>
      <t>元。            换购券+免单金额=</t>
    </r>
    <r>
      <rPr>
        <sz val="12"/>
        <color indexed="10"/>
        <rFont val="微软雅黑"/>
        <family val="2"/>
        <charset val="134"/>
      </rPr>
      <t>9526.4+11936.72=21463.12</t>
    </r>
    <r>
      <rPr>
        <sz val="12"/>
        <color indexed="8"/>
        <rFont val="微软雅黑"/>
        <family val="2"/>
        <charset val="134"/>
      </rPr>
      <t xml:space="preserve">元                     </t>
    </r>
  </si>
  <si>
    <t>设计费</t>
  </si>
  <si>
    <t>拆除墙体</t>
  </si>
  <si>
    <t>新建墙体</t>
  </si>
  <si>
    <t>方钢过梁</t>
  </si>
  <si>
    <t>地梁</t>
  </si>
  <si>
    <t>平面吊顶</t>
  </si>
  <si>
    <t>直线吊顶</t>
  </si>
  <si>
    <t>水电点位增加</t>
  </si>
  <si>
    <t>水电全改</t>
  </si>
  <si>
    <t>减去优惠21463.12元</t>
  </si>
  <si>
    <t>水电点位：90个</t>
  </si>
  <si>
    <t>需自购</t>
  </si>
  <si>
    <t>窗户</t>
  </si>
  <si>
    <t>暖气</t>
  </si>
  <si>
    <t>防盗门</t>
  </si>
  <si>
    <t>烟机、灶具</t>
  </si>
  <si>
    <t xml:space="preserve">中央空调 </t>
  </si>
  <si>
    <t>电器</t>
  </si>
  <si>
    <t>家具</t>
  </si>
  <si>
    <t>智能设备</t>
  </si>
  <si>
    <t>M3新房套餐报价汇总</t>
  </si>
  <si>
    <t>装修地址：</t>
  </si>
  <si>
    <t>套内建筑面积</t>
  </si>
  <si>
    <t>二室一厅一厨一卫</t>
  </si>
  <si>
    <t>一、基础报价</t>
  </si>
  <si>
    <t>二、设计费</t>
  </si>
  <si>
    <t>套内面积50平米以下，设计费5000元起;   套内面积50平米以上，设计费100元/平米起，超出部分设计费：7.0折</t>
  </si>
  <si>
    <t>基础施工+设计费</t>
  </si>
  <si>
    <t>三、独家赠送施工</t>
  </si>
  <si>
    <t>标配</t>
  </si>
  <si>
    <t>界面剂处理（墙锢、地锢）全屋标配</t>
  </si>
  <si>
    <t>项</t>
  </si>
  <si>
    <t>披刮墙顶面腻子（走廊、客餐厅、门厅、卧室、阳台）</t>
  </si>
  <si>
    <t>墙漆涂刷（走廊、客餐厅、门厅、卧室、阳台）</t>
  </si>
  <si>
    <t>墙体挂网（走廊、客餐厅、门厅、卧室、阳台）</t>
  </si>
  <si>
    <t>地面水泥砂浆找平（走廊、客餐厅、门厅、卧室、阳台）</t>
  </si>
  <si>
    <t>地砖铺贴（走廊、客餐厅、门厅、卧室、阳台、厨房、厨房阳台、卫生间）</t>
  </si>
  <si>
    <t>地砖踢脚线铺贴（走廊、客餐厅、门厅、卧室、阳台）</t>
  </si>
  <si>
    <t>墙面水泥砂浆找平（厨房、卫生间、厨房阳台）</t>
  </si>
  <si>
    <t>墙砖铺贴（薄贴）（厨房、卫生间、厨房阳台）</t>
  </si>
  <si>
    <t>轻体砖围砌厨卫管道（单管）（厨卫）</t>
  </si>
  <si>
    <t>过门石铺贴（卧室、厨房、卫生间）</t>
  </si>
  <si>
    <t>防水（卫生间）</t>
  </si>
  <si>
    <t>防水基层（卫生间）</t>
  </si>
  <si>
    <t>新、老房标配水路全改：避免不同材质水管连接漏水，保证水压</t>
  </si>
  <si>
    <t>卫生间防水墙地面满刷到顶：防潮防水性能更好</t>
  </si>
  <si>
    <t>卫生间门口防水外延0.5 米：防止地板、门框、踢脚线受潮开裂</t>
  </si>
  <si>
    <t>厨房烟道刷防水：防止返味漏烟</t>
  </si>
  <si>
    <t>厨房止逆阀瓷砖套割工艺，防止返味漏烟</t>
  </si>
  <si>
    <t>厨卫墙砖薄贴工艺：避免瓷砖空鼓开裂</t>
  </si>
  <si>
    <t>黄金阻尼片管道静音处理</t>
  </si>
  <si>
    <t>新建墙体加固升级工艺：新建墙体斜砌压顶，提高墙体稳定性，防止面层开裂</t>
  </si>
  <si>
    <t>新建墙体混凝土地梁升级工艺：提高墙体稳定性及防水防潮效果</t>
  </si>
  <si>
    <t>卫生间双挡水坝：防止砂浆层横向漏水</t>
  </si>
  <si>
    <t>厨卫间穿墙管封堵：防止厨卫串味</t>
  </si>
  <si>
    <t>木工吊顶软连接：吊顶防开裂</t>
  </si>
  <si>
    <t>墙面石膏到底：防止踢脚线安装不平</t>
  </si>
  <si>
    <t>厨卫墙面墙砖薄贴工艺</t>
  </si>
  <si>
    <t>享厨卫海棠角倒角工艺</t>
  </si>
  <si>
    <t>享台下盆工艺</t>
  </si>
  <si>
    <t>厨房刷防水</t>
  </si>
  <si>
    <t>铲除腻子层</t>
  </si>
  <si>
    <t>基层粉刷石膏找平</t>
  </si>
  <si>
    <t>四、基础主材</t>
  </si>
  <si>
    <t>地板（书香门地、生活家、德尔、卢森）</t>
  </si>
  <si>
    <t>瓷砖（依诺、冠珠、蒙娜丽莎、利家福、金意陶）</t>
  </si>
  <si>
    <t>木门（TATA（限北京区）、德诺克、思家欣、木鼎、富程、法莱尔（铝镁）</t>
  </si>
  <si>
    <t>橱柜、水盆、龙头（索菲亚、玛格尼尼、志邦、全友、金牌）</t>
  </si>
  <si>
    <t>浴具（惠达、法恩莎、九牧、箭牌）</t>
  </si>
  <si>
    <t>厨卫吊顶（西美伦、友邦、奥普）</t>
  </si>
  <si>
    <t>开关面板或插座（ABB、施耐德、公牛、西门子、雷士、罗格朗）</t>
  </si>
  <si>
    <t>窗台石（正发、华建）</t>
  </si>
  <si>
    <t>过门石（正发、华建）</t>
  </si>
  <si>
    <t>享全屋瓷砖美缝  卫生间地环氧彩砂色彩丰富防潮防霉</t>
  </si>
  <si>
    <t>享品牌成品家具（48套成品家具可选），家具品牌：顾家、爱依瑞斯、慕思、思丽德赛、全友、迷住或8平米定制家具，定制品牌：志邦、科宝、金牌、索菲亚、玛格尼尼、全友 。 博洛尼Y系列/飞美 折抵面积*0.73 . 注：单品牌需采购10平米起。</t>
  </si>
  <si>
    <t>享全屋窗帘 母婴级棉麻、高精密全遮光等40款面料可选（18米布、9米五金不含纱）。置换规则：可置换2.0平米定制或窗帘换购券2900元。</t>
  </si>
  <si>
    <t>享全屋灯具（客厅+餐厅+卧室数+阳台）；置换规则：置换规则：可置换换购券定制2.0平米或1960元灯具品类换购券。</t>
  </si>
  <si>
    <t>享雷士/公牛轨道插1个</t>
  </si>
  <si>
    <t>基础施工+基础标配+设计费</t>
  </si>
  <si>
    <t>五、额外赠送</t>
  </si>
  <si>
    <t>第一项</t>
  </si>
  <si>
    <t xml:space="preserve">入住级环保空气治理  美国进口植物液全屋空气治理 </t>
  </si>
  <si>
    <t>具备法律效应的第三方权威机构环保检测</t>
  </si>
  <si>
    <t>防水+水电20 年；基础工程10 年</t>
  </si>
  <si>
    <t>全程管家服务统筹管控协调、在施工地智能互动系统</t>
  </si>
  <si>
    <t>第二项</t>
  </si>
  <si>
    <t>方案</t>
  </si>
  <si>
    <t>整体卫浴免费升级至M6pro轻智能卫浴系列（限单卫）。品牌：九牧、惠达、箭牌、法恩莎。</t>
  </si>
  <si>
    <t>客餐厅大地砖免费升级M3pro600*1200mm指定款大砖（含铺贴费）或升级M6系800*800mm。品牌依诺、冠珠蒙娜丽莎、利家福、金意陶。</t>
  </si>
  <si>
    <t>厨卫墙砖免费升级至全系M6系列400*800墙砖；（限单卫)品牌：依诺、 冠珠、蒙娜丽莎、利家福、金意陶</t>
  </si>
  <si>
    <t>地板免费升级至M6全系地板；可选地板或卧室通铺M6地砖；品牌：卢森、书香门地、德尔、生活家、飞美</t>
  </si>
  <si>
    <t>橱柜免费升级 M6全系橱柜 ；品牌：志邦、科宝、玛格尼尼、索菲亚 全友、金牌（橱柜衣柜须同品牌）</t>
  </si>
  <si>
    <t>木门免费升级M6全系木门。品牌： TATA 德诺克、思家欣、木鼎、富程  铝镁门:法莱尔</t>
  </si>
  <si>
    <t>厨卫吊顶免费升级为 M8全系300*600规格（含厨房阳台）。品牌：西美伦、友邦、奥普。</t>
  </si>
  <si>
    <t>（3选1）
1/ 全屋墙面顺平工艺升级至全屋墙面冲筋垂平（厨卫墙除外）。
注：如未选择全屋墙面冲筋垂平，送衣柜后墙面面积的冲筋垂平。
2/ 置换定制衣柜。置换投影面积衣柜= 签约面积*4.0%。
3/：置换换购券= 签约面积*40元</t>
  </si>
  <si>
    <t xml:space="preserve">（2选1）
1/ 超出起价面积50平米以外的面积，另追加换购券。
老房预售=（签约面积-50）* 140元；新房预售=（签约面积-50）* 120元。  超起价增值追加换购券：            元。
2/  超出起价面积50平米以外的面积，另追加送定制柜。
老房预售=（签约面积-50）*14%.  新房预售=（签约面积-50）* 12%.            
超起价追加送定制柜：      平米。
</t>
  </si>
  <si>
    <t>首期预售款免单10%（按本协议的最后一天确认的缴款比例核算）。
免单额=《预售合同款》的首期款（20%-50%）* 10%。
预售首期款（20%-50%）：       万元。  免单额=          元。
注：免单额折抵客户中期的合同款+预售合同包含管理费+税金金额。</t>
  </si>
  <si>
    <t>（3选1）置换换购券= 签约面积*40=（65.79*40）=2631.6元换购券、（2选1）1、新房预售=（65.79-50）*120=1894.8元换购券，合计4526.4元换购券。                                                                      首期预售款免单10%：免单额=《预售合同款》的首期款（20%-50%）* 10% =（首期款50%：74604.5）*10%=7460.45元                                                             额外追加2个点</t>
  </si>
  <si>
    <t>总计</t>
  </si>
  <si>
    <t>水电点位：52</t>
  </si>
  <si>
    <t>比较维度</t>
  </si>
  <si>
    <t>博洛尼（Boloni）全案报价</t>
  </si>
  <si>
    <t>业之峰（Yezhifeng）M3升级版</t>
  </si>
  <si>
    <t>数据与费用差异事实</t>
  </si>
  <si>
    <t>计价面积基准</t>
  </si>
  <si>
    <r>
      <t>建筑面积：</t>
    </r>
    <r>
      <rPr>
        <b/>
        <sz val="12"/>
        <color rgb="FF1F1F1F"/>
        <rFont val="Arial"/>
        <family val="2"/>
        <charset val="0"/>
      </rPr>
      <t>88 ㎡</t>
    </r>
  </si>
  <si>
    <r>
      <t>套内建筑面积：</t>
    </r>
    <r>
      <rPr>
        <b/>
        <sz val="12"/>
        <color rgb="FF1F1F1F"/>
        <rFont val="Arial"/>
        <family val="2"/>
        <charset val="0"/>
      </rPr>
      <t>65.79 ㎡</t>
    </r>
  </si>
  <si>
    <t>计价面积计算基数不同。</t>
  </si>
  <si>
    <t>优惠后最终总价</t>
  </si>
  <si>
    <t>211,348.41 元</t>
  </si>
  <si>
    <t>160,478.66 元</t>
  </si>
  <si>
    <r>
      <t xml:space="preserve">业之峰账面总价低 </t>
    </r>
    <r>
      <rPr>
        <b/>
        <sz val="12"/>
        <color rgb="FF1F1F1F"/>
        <rFont val="Arial"/>
        <family val="2"/>
        <charset val="0"/>
      </rPr>
      <t>50,869.75 元</t>
    </r>
    <r>
      <rPr>
        <sz val="12"/>
        <color rgb="FF1F1F1F"/>
        <rFont val="Arial"/>
        <family val="2"/>
        <charset val="0"/>
      </rPr>
      <t>（注：业之峰未含看中瓷砖的加价）。</t>
    </r>
  </si>
  <si>
    <t>套餐基础报价</t>
  </si>
  <si>
    <t>Yan high系列：133,060.00 元</t>
  </si>
  <si>
    <t>M3套餐基价：149,209.00 元</t>
  </si>
  <si>
    <t>业之峰基础套餐包账面价格高 16,149 元。</t>
  </si>
  <si>
    <t>包含在全案总价中（未单列）</t>
  </si>
  <si>
    <t>6,110.00 元（已做7折活动折抵）</t>
  </si>
  <si>
    <t>业之峰单独收取设计费。</t>
  </si>
  <si>
    <t>老房拆除费</t>
  </si>
  <si>
    <t>包含在“老房套餐包”中（拆除标示0元，清运包含）</t>
  </si>
  <si>
    <t>拆墙 968.70 元</t>
  </si>
  <si>
    <r>
      <t>业之峰目前</t>
    </r>
    <r>
      <rPr>
        <b/>
        <sz val="12"/>
        <color rgb="FF1F1F1F"/>
        <rFont val="Arial"/>
        <family val="2"/>
        <charset val="0"/>
      </rPr>
      <t>缺少</t>
    </r>
    <r>
      <rPr>
        <sz val="12"/>
        <color rgb="FF1F1F1F"/>
        <rFont val="Arial"/>
        <family val="2"/>
        <charset val="0"/>
      </rPr>
      <t>全屋整体地面、旧卫浴、旧门窗的整体拆除清运费。</t>
    </r>
  </si>
  <si>
    <t>墙体结构改造</t>
  </si>
  <si>
    <t>包含在个性化施工包内</t>
  </si>
  <si>
    <r>
      <t>新建墙体/过梁/地梁：</t>
    </r>
    <r>
      <rPr>
        <b/>
        <sz val="12"/>
        <color rgb="FF1F1F1F"/>
        <rFont val="Arial"/>
        <family val="2"/>
        <charset val="0"/>
      </rPr>
      <t>10,591.36 元</t>
    </r>
  </si>
  <si>
    <t>业之峰对结构改造（新建墙、地梁、方钢过梁）有明确的单项计价。</t>
  </si>
  <si>
    <t>水电改造及点位</t>
  </si>
  <si>
    <t>老房水电全改修复包：20,010 元</t>
  </si>
  <si>
    <t>水电点位增加：7,216.20 元</t>
  </si>
  <si>
    <r>
      <t xml:space="preserve">业之峰水电总价便宜 </t>
    </r>
    <r>
      <rPr>
        <b/>
        <sz val="12"/>
        <color rgb="FF1F1F1F"/>
        <rFont val="Arial"/>
        <family val="2"/>
        <charset val="0"/>
      </rPr>
      <t>12,280.61 元</t>
    </r>
    <r>
      <rPr>
        <sz val="12"/>
        <color rgb="FF1F1F1F"/>
        <rFont val="Arial"/>
        <family val="2"/>
        <charset val="0"/>
      </rPr>
      <t>。</t>
    </r>
  </si>
  <si>
    <t>中央空调布线：3,500 元</t>
  </si>
  <si>
    <t>水电全改：4,013.19 元</t>
  </si>
  <si>
    <r>
      <t>合计：</t>
    </r>
    <r>
      <rPr>
        <b/>
        <sz val="12"/>
        <color rgb="FF1F1F1F"/>
        <rFont val="Arial"/>
        <family val="2"/>
        <charset val="0"/>
      </rPr>
      <t>23,510 元</t>
    </r>
  </si>
  <si>
    <r>
      <t>合计：</t>
    </r>
    <r>
      <rPr>
        <b/>
        <sz val="12"/>
        <color rgb="FF1F1F1F"/>
        <rFont val="Arial"/>
        <family val="2"/>
        <charset val="0"/>
      </rPr>
      <t>11,229.39 元</t>
    </r>
  </si>
  <si>
    <t>包含点位数量</t>
  </si>
  <si>
    <r>
      <t>60 个点位</t>
    </r>
    <r>
      <rPr>
        <sz val="12"/>
        <color rgb="FF1F1F1F"/>
        <rFont val="Arial"/>
        <family val="2"/>
        <charset val="0"/>
      </rPr>
      <t>（50个电位 + 10个水位）</t>
    </r>
  </si>
  <si>
    <r>
      <t xml:space="preserve">明确标注共 </t>
    </r>
    <r>
      <rPr>
        <b/>
        <sz val="12"/>
        <color rgb="FF1F1F1F"/>
        <rFont val="Arial"/>
        <family val="2"/>
        <charset val="0"/>
      </rPr>
      <t>90 个点位</t>
    </r>
  </si>
  <si>
    <t>业之峰标配加增项后的点位数量多出 30 个。</t>
  </si>
  <si>
    <t>木作/定制柜额度</t>
  </si>
  <si>
    <r>
      <t>12.3 平米</t>
    </r>
    <r>
      <rPr>
        <sz val="12"/>
        <color rgb="FF1F1F1F"/>
        <rFont val="Arial"/>
        <family val="2"/>
        <charset val="0"/>
      </rPr>
      <t xml:space="preserve"> 定制柜</t>
    </r>
  </si>
  <si>
    <r>
      <t>8 平米</t>
    </r>
    <r>
      <rPr>
        <sz val="12"/>
        <color rgb="FF1F1F1F"/>
        <rFont val="Arial"/>
        <family val="2"/>
        <charset val="0"/>
      </rPr>
      <t xml:space="preserve"> 定制柜（或48套成品家具）</t>
    </r>
  </si>
  <si>
    <r>
      <t xml:space="preserve">博洛尼套餐内包含的定制柜面积多出 </t>
    </r>
    <r>
      <rPr>
        <b/>
        <sz val="12"/>
        <color rgb="FF1F1F1F"/>
        <rFont val="Arial"/>
        <family val="2"/>
        <charset val="0"/>
      </rPr>
      <t>4.3 ㎡</t>
    </r>
    <r>
      <rPr>
        <sz val="12"/>
        <color rgb="FF1F1F1F"/>
        <rFont val="Arial"/>
        <family val="2"/>
        <charset val="0"/>
      </rPr>
      <t>。</t>
    </r>
  </si>
  <si>
    <t>吊顶工程费</t>
  </si>
  <si>
    <r>
      <t>平面/直线吊顶合计：</t>
    </r>
    <r>
      <rPr>
        <b/>
        <sz val="12"/>
        <color rgb="FF1F1F1F"/>
        <rFont val="Arial"/>
        <family val="2"/>
        <charset val="0"/>
      </rPr>
      <t>3,833.33 元</t>
    </r>
  </si>
  <si>
    <t>业之峰单列木工吊顶费用。</t>
  </si>
  <si>
    <t>瓷砖主材及工艺</t>
  </si>
  <si>
    <t>标配升级400*800规格</t>
  </si>
  <si>
    <t>升级M6系客餐厅6001200mm指定款</t>
  </si>
  <si>
    <r>
      <t>业之峰地砖标配规格更高，且包含美缝；但你</t>
    </r>
    <r>
      <rPr>
        <b/>
        <sz val="12"/>
        <color rgb="FF1F1F1F"/>
        <rFont val="Arial"/>
        <family val="2"/>
        <charset val="0"/>
      </rPr>
      <t>看中的特定款式地砖需线外加价 108 元/㎡</t>
    </r>
    <r>
      <rPr>
        <sz val="12"/>
        <color rgb="FF1F1F1F"/>
        <rFont val="Arial"/>
        <family val="2"/>
        <charset val="0"/>
      </rPr>
      <t>。</t>
    </r>
  </si>
  <si>
    <t>送厨卫墙面瓷砖薄贴法</t>
  </si>
  <si>
    <t>厨卫墙砖升400800</t>
  </si>
  <si>
    <t>送全屋美缝及卫生间彩砂</t>
  </si>
  <si>
    <t>建筑面积 (㎡)</t>
  </si>
  <si>
    <t>套内面积 (㎡)</t>
  </si>
  <si>
    <t>地面铺砖净面积 (㎡)</t>
  </si>
  <si>
    <t>柜体缺口面积 (㎡)</t>
  </si>
  <si>
    <t>补齐水电点位数量 (个)</t>
  </si>
  <si>
    <t>瓷砖升级单价差 (元/㎡)</t>
  </si>
  <si>
    <t>定制柜外包单价 (元/㎡)</t>
  </si>
  <si>
    <t>对比类目</t>
  </si>
  <si>
    <t>博洛尼金额</t>
  </si>
  <si>
    <t>业之峰金额</t>
  </si>
  <si>
    <r>
      <t>计算公式</t>
    </r>
    <r>
      <rPr>
        <sz val="10"/>
        <color indexed="9"/>
        <rFont val="Arial"/>
        <family val="2"/>
        <charset val="0"/>
      </rPr>
      <t>/</t>
    </r>
    <r>
      <rPr>
        <sz val="10"/>
        <color theme="0"/>
        <rFont val="宋体-简"/>
        <charset val="134"/>
      </rPr>
      <t>明细说明</t>
    </r>
  </si>
  <si>
    <t>原始账面最终总价</t>
  </si>
  <si>
    <t>原始公司给出的账面原始底价</t>
  </si>
  <si>
    <t>水电点位对齐补差</t>
  </si>
  <si>
    <r>
      <t>博洛尼加点（按</t>
    </r>
    <r>
      <rPr>
        <sz val="10"/>
        <color theme="1"/>
        <rFont val="Arial"/>
        <family val="2"/>
        <charset val="0"/>
      </rPr>
      <t>100</t>
    </r>
    <r>
      <rPr>
        <sz val="10"/>
        <color theme="1"/>
        <rFont val="宋体-简"/>
        <charset val="134"/>
      </rPr>
      <t>元</t>
    </r>
    <r>
      <rPr>
        <sz val="10"/>
        <color theme="1"/>
        <rFont val="Arial"/>
        <family val="2"/>
        <charset val="0"/>
      </rPr>
      <t>/</t>
    </r>
    <r>
      <rPr>
        <sz val="10"/>
        <color theme="1"/>
        <rFont val="宋体-简"/>
        <charset val="134"/>
      </rPr>
      <t>个计）</t>
    </r>
  </si>
  <si>
    <t>看中地砖升级差价</t>
  </si>
  <si>
    <t>地面净面积与瓷砖升级差价乘积</t>
  </si>
  <si>
    <t>瓷砖系统税费管理费</t>
  </si>
  <si>
    <r>
      <t>管理费</t>
    </r>
    <r>
      <rPr>
        <sz val="10"/>
        <color theme="1"/>
        <rFont val="Arial"/>
        <family val="2"/>
        <charset val="0"/>
      </rPr>
      <t>15%</t>
    </r>
    <r>
      <rPr>
        <sz val="10"/>
        <color theme="1"/>
        <rFont val="宋体-简"/>
        <charset val="134"/>
      </rPr>
      <t>加税金</t>
    </r>
    <r>
      <rPr>
        <sz val="10"/>
        <color theme="1"/>
        <rFont val="Arial"/>
        <family val="2"/>
        <charset val="0"/>
      </rPr>
      <t>3.41%</t>
    </r>
  </si>
  <si>
    <t>定制柜体容额补齐</t>
  </si>
  <si>
    <t>柜体缺口面积与外包定制单价乘积</t>
  </si>
  <si>
    <t>成品家具资产折算</t>
  </si>
  <si>
    <r>
      <t>博洛尼自带</t>
    </r>
    <r>
      <rPr>
        <sz val="10"/>
        <color theme="1"/>
        <rFont val="Arial"/>
        <family val="2"/>
        <charset val="0"/>
      </rPr>
      <t>7</t>
    </r>
    <r>
      <rPr>
        <sz val="10"/>
        <color theme="1"/>
        <rFont val="宋体-简"/>
        <charset val="134"/>
      </rPr>
      <t>件套；业之峰无家具自购市值</t>
    </r>
  </si>
  <si>
    <t>老房整体拆除清运真空</t>
  </si>
  <si>
    <t>博洛尼自带拆除包；业之峰新房套餐缺项刚性市值</t>
  </si>
  <si>
    <t>等效对齐后总价</t>
  </si>
  <si>
    <t>双边等效总价汇总</t>
  </si>
  <si>
    <t>最终等效真实价差</t>
  </si>
  <si>
    <t>正数为博洛尼高；负数为业之峰高</t>
  </si>
  <si>
    <t>全屋定制总需求 (㎡)</t>
  </si>
  <si>
    <t>业之峰标配柜体额度 (㎡)</t>
  </si>
  <si>
    <t>博洛尼换算折抵系数</t>
  </si>
  <si>
    <t>博洛尼柜体外包单价 (元/㎡)</t>
  </si>
  <si>
    <t>计算公式/明细说明</t>
  </si>
  <si>
    <t>博洛尼加点（按100元/个计）</t>
  </si>
  <si>
    <r>
      <t>管理费</t>
    </r>
    <r>
      <rPr>
        <sz val="10"/>
        <rFont val="Arial"/>
        <family val="2"/>
        <charset val="0"/>
      </rPr>
      <t>15%</t>
    </r>
    <r>
      <rPr>
        <sz val="10"/>
        <rFont val="宋体-简"/>
        <charset val="134"/>
      </rPr>
      <t>加税金</t>
    </r>
    <r>
      <rPr>
        <sz val="10"/>
        <rFont val="Arial"/>
        <family val="2"/>
        <charset val="0"/>
      </rPr>
      <t>3.41%</t>
    </r>
  </si>
  <si>
    <t>定制柜体容额及品牌补齐</t>
  </si>
  <si>
    <r>
      <t>业之峰用博洛尼需补差</t>
    </r>
    <r>
      <rPr>
        <sz val="10"/>
        <rFont val="Arial"/>
        <family val="2"/>
        <charset val="0"/>
      </rPr>
      <t>:(</t>
    </r>
    <r>
      <rPr>
        <sz val="10"/>
        <rFont val="宋体-简"/>
        <charset val="134"/>
      </rPr>
      <t>总需求</t>
    </r>
    <r>
      <rPr>
        <sz val="10"/>
        <rFont val="Arial"/>
        <family val="2"/>
        <charset val="0"/>
      </rPr>
      <t>-</t>
    </r>
    <r>
      <rPr>
        <sz val="10"/>
        <rFont val="宋体-简"/>
        <charset val="134"/>
      </rPr>
      <t>标配</t>
    </r>
    <r>
      <rPr>
        <sz val="10"/>
        <rFont val="Arial"/>
        <family val="2"/>
        <charset val="0"/>
      </rPr>
      <t>*0.73)*</t>
    </r>
    <r>
      <rPr>
        <sz val="10"/>
        <rFont val="宋体-简"/>
        <charset val="134"/>
      </rPr>
      <t>单价</t>
    </r>
  </si>
  <si>
    <r>
      <t>博洛尼自带</t>
    </r>
    <r>
      <rPr>
        <sz val="10"/>
        <rFont val="Arial"/>
        <family val="2"/>
        <charset val="0"/>
      </rPr>
      <t>7</t>
    </r>
    <r>
      <rPr>
        <sz val="10"/>
        <rFont val="宋体-简"/>
        <charset val="134"/>
      </rPr>
      <t>件套；业之峰无家具自购市值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</si>
</sst>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);[Red]\(0.00\)"/>
  </numFmts>
  <fonts count="46">
    <font>
      <sz val="12"/>
      <name val="宋体"/>
      <charset val="134"/>
    </font>
    <font>
      <sz val="10"/>
      <name val="Arial"/>
      <family val="2"/>
      <charset val="0"/>
    </font>
    <font>
      <sz val="10"/>
      <name val="宋体-简"/>
      <charset val="134"/>
    </font>
    <font>
      <sz val="10"/>
      <color theme="0"/>
      <name val="宋体-简"/>
      <charset val="134"/>
    </font>
    <font>
      <sz val="10"/>
      <color theme="1"/>
      <name val="宋体-简"/>
      <charset val="134"/>
    </font>
    <font>
      <sz val="10"/>
      <color theme="1"/>
      <name val="Arial"/>
      <family val="2"/>
      <charset val="0"/>
    </font>
    <font>
      <b/>
      <sz val="12"/>
      <color rgb="FF1F1F1F"/>
      <name val="宋体-简"/>
      <charset val="134"/>
    </font>
    <font>
      <b/>
      <sz val="12"/>
      <color rgb="FF1F1F1F"/>
      <name val="Arial"/>
      <family val="2"/>
      <charset val="0"/>
    </font>
    <font>
      <sz val="12"/>
      <color rgb="FF1F1F1F"/>
      <name val="Arial"/>
      <family val="2"/>
      <charset val="0"/>
    </font>
    <font>
      <b/>
      <sz val="12"/>
      <color theme="1"/>
      <name val="微软雅黑 Light"/>
      <family val="2"/>
      <charset val="134"/>
    </font>
    <font>
      <b/>
      <sz val="12"/>
      <color theme="1"/>
      <name val="宋体"/>
      <charset val="134"/>
      <scheme val="major"/>
    </font>
    <font>
      <b/>
      <sz val="12"/>
      <color theme="1"/>
      <name val="等线"/>
      <charset val="134"/>
    </font>
    <font>
      <sz val="12"/>
      <color rgb="FFFF0000"/>
      <name val="等线"/>
      <charset val="134"/>
    </font>
    <font>
      <sz val="12"/>
      <color theme="1"/>
      <name val="宋体"/>
      <charset val="134"/>
      <scheme val="major"/>
    </font>
    <font>
      <sz val="12"/>
      <color theme="1"/>
      <name val="等线"/>
      <charset val="134"/>
    </font>
    <font>
      <sz val="12"/>
      <color rgb="FFFF0000"/>
      <name val="宋体"/>
      <charset val="134"/>
      <scheme val="major"/>
    </font>
    <font>
      <b/>
      <sz val="18"/>
      <name val="宋体"/>
      <charset val="134"/>
    </font>
    <font>
      <b/>
      <u/>
      <sz val="12"/>
      <name val="宋体"/>
      <charset val="134"/>
    </font>
    <font>
      <sz val="12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color theme="1"/>
      <name val="微软雅黑"/>
      <family val="2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0"/>
      <name val="Helv"/>
      <charset val="0"/>
    </font>
    <font>
      <sz val="11"/>
      <color theme="1"/>
      <name val="宋体"/>
      <charset val="134"/>
      <scheme val="minor"/>
    </font>
    <font>
      <sz val="10"/>
      <color indexed="9"/>
      <name val="Arial"/>
      <family val="2"/>
      <charset val="0"/>
    </font>
    <font>
      <sz val="12"/>
      <color indexed="10"/>
      <name val="微软雅黑"/>
      <family val="2"/>
      <charset val="134"/>
    </font>
    <font>
      <sz val="12"/>
      <color indexed="8"/>
      <name val="微软雅黑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8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 style="medium">
        <color rgb="FFCCCCCC"/>
      </right>
      <top style="medium">
        <color rgb="FFCCCCCC"/>
      </top>
      <bottom style="medium">
        <color indexed="8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8"/>
      </bottom>
      <diagonal/>
    </border>
    <border>
      <left style="medium">
        <color rgb="FFCCCCCC"/>
      </left>
      <right style="medium">
        <color indexed="8"/>
      </right>
      <top style="medium">
        <color rgb="FFCCCCCC"/>
      </top>
      <bottom style="medium">
        <color indexed="8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0" fillId="11" borderId="3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2" borderId="41" applyNumberFormat="0" applyAlignment="0" applyProtection="0">
      <alignment vertical="center"/>
    </xf>
    <xf numFmtId="0" fontId="31" fillId="13" borderId="42" applyNumberFormat="0" applyAlignment="0" applyProtection="0">
      <alignment vertical="center"/>
    </xf>
    <xf numFmtId="0" fontId="32" fillId="13" borderId="41" applyNumberFormat="0" applyAlignment="0" applyProtection="0">
      <alignment vertical="center"/>
    </xf>
    <xf numFmtId="0" fontId="33" fillId="14" borderId="43" applyNumberFormat="0" applyAlignment="0" applyProtection="0">
      <alignment vertical="center"/>
    </xf>
    <xf numFmtId="0" fontId="34" fillId="0" borderId="44" applyNumberFormat="0" applyFill="0" applyAlignment="0" applyProtection="0">
      <alignment vertical="center"/>
    </xf>
    <xf numFmtId="0" fontId="35" fillId="0" borderId="45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1" fillId="0" borderId="0" applyBorder="0"/>
    <xf numFmtId="0" fontId="41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2" fillId="0" borderId="0">
      <alignment vertical="center"/>
    </xf>
    <xf numFmtId="0" fontId="0" fillId="0" borderId="0"/>
  </cellStyleXfs>
  <cellXfs count="163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2" fillId="0" borderId="1" xfId="0" applyFont="1" applyBorder="1" applyAlignment="1">
      <alignment wrapText="1" readingOrder="1"/>
    </xf>
    <xf numFmtId="0" fontId="3" fillId="2" borderId="2" xfId="0" applyFont="1" applyFill="1" applyBorder="1" applyAlignment="1">
      <alignment wrapText="1" readingOrder="1"/>
    </xf>
    <xf numFmtId="0" fontId="3" fillId="2" borderId="1" xfId="0" applyFont="1" applyFill="1" applyBorder="1" applyAlignment="1">
      <alignment wrapText="1" readingOrder="1"/>
    </xf>
    <xf numFmtId="0" fontId="3" fillId="2" borderId="3" xfId="0" applyFont="1" applyFill="1" applyBorder="1" applyAlignment="1">
      <alignment wrapText="1" readingOrder="1"/>
    </xf>
    <xf numFmtId="0" fontId="4" fillId="0" borderId="2" xfId="0" applyFont="1" applyFill="1" applyBorder="1" applyAlignment="1">
      <alignment wrapText="1" readingOrder="1"/>
    </xf>
    <xf numFmtId="0" fontId="5" fillId="0" borderId="1" xfId="0" applyFont="1" applyFill="1" applyBorder="1" applyAlignment="1">
      <alignment horizontal="right" wrapText="1" readingOrder="1"/>
    </xf>
    <xf numFmtId="0" fontId="4" fillId="0" borderId="3" xfId="0" applyFont="1" applyFill="1" applyBorder="1" applyAlignment="1">
      <alignment wrapText="1" readingOrder="1"/>
    </xf>
    <xf numFmtId="0" fontId="4" fillId="0" borderId="4" xfId="0" applyFont="1" applyFill="1" applyBorder="1" applyAlignment="1">
      <alignment wrapText="1" readingOrder="1"/>
    </xf>
    <xf numFmtId="0" fontId="5" fillId="0" borderId="5" xfId="0" applyFont="1" applyFill="1" applyBorder="1" applyAlignment="1">
      <alignment horizontal="right" wrapText="1" readingOrder="1"/>
    </xf>
    <xf numFmtId="0" fontId="5" fillId="0" borderId="5" xfId="0" applyFont="1" applyFill="1" applyBorder="1" applyAlignment="1">
      <alignment wrapText="1" readingOrder="1"/>
    </xf>
    <xf numFmtId="0" fontId="4" fillId="0" borderId="6" xfId="0" applyFont="1" applyFill="1" applyBorder="1" applyAlignment="1">
      <alignment wrapText="1" readingOrder="1"/>
    </xf>
    <xf numFmtId="0" fontId="6" fillId="0" borderId="7" xfId="0" applyFont="1" applyBorder="1" applyAlignment="1">
      <alignment wrapText="1" readingOrder="1"/>
    </xf>
    <xf numFmtId="0" fontId="7" fillId="0" borderId="7" xfId="0" applyFont="1" applyBorder="1" applyAlignment="1">
      <alignment wrapText="1" readingOrder="1"/>
    </xf>
    <xf numFmtId="0" fontId="8" fillId="0" borderId="7" xfId="0" applyFont="1" applyBorder="1" applyAlignment="1">
      <alignment wrapText="1" readingOrder="1"/>
    </xf>
    <xf numFmtId="0" fontId="8" fillId="0" borderId="8" xfId="0" applyFont="1" applyBorder="1" applyAlignment="1">
      <alignment wrapText="1" readingOrder="1"/>
    </xf>
    <xf numFmtId="0" fontId="0" fillId="0" borderId="9" xfId="0" applyBorder="1"/>
    <xf numFmtId="0" fontId="8" fillId="0" borderId="9" xfId="0" applyFont="1" applyBorder="1" applyAlignment="1">
      <alignment wrapText="1" readingOrder="1"/>
    </xf>
    <xf numFmtId="0" fontId="8" fillId="0" borderId="10" xfId="0" applyFont="1" applyBorder="1" applyAlignment="1">
      <alignment wrapText="1" readingOrder="1"/>
    </xf>
    <xf numFmtId="0" fontId="0" fillId="0" borderId="10" xfId="0" applyBorder="1"/>
    <xf numFmtId="0" fontId="9" fillId="3" borderId="1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2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left" vertical="center" wrapText="1"/>
    </xf>
    <xf numFmtId="0" fontId="12" fillId="3" borderId="11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left" vertical="center" wrapText="1"/>
    </xf>
    <xf numFmtId="0" fontId="13" fillId="4" borderId="14" xfId="0" applyFont="1" applyFill="1" applyBorder="1" applyAlignment="1">
      <alignment horizontal="left" vertical="center" wrapText="1"/>
    </xf>
    <xf numFmtId="0" fontId="13" fillId="4" borderId="1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left" vertical="center" wrapText="1"/>
    </xf>
    <xf numFmtId="0" fontId="14" fillId="4" borderId="17" xfId="0" applyFont="1" applyFill="1" applyBorder="1" applyAlignment="1">
      <alignment horizontal="center" vertical="center" wrapText="1"/>
    </xf>
    <xf numFmtId="0" fontId="14" fillId="4" borderId="18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right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left" vertical="center" wrapText="1"/>
    </xf>
    <xf numFmtId="0" fontId="13" fillId="4" borderId="19" xfId="0" applyFont="1" applyFill="1" applyBorder="1" applyAlignment="1">
      <alignment horizontal="left" vertical="center" wrapText="1"/>
    </xf>
    <xf numFmtId="0" fontId="0" fillId="4" borderId="17" xfId="0" applyFont="1" applyFill="1" applyBorder="1" applyAlignment="1">
      <alignment horizontal="left" vertical="center" wrapText="1"/>
    </xf>
    <xf numFmtId="0" fontId="0" fillId="4" borderId="19" xfId="0" applyFont="1" applyFill="1" applyBorder="1" applyAlignment="1">
      <alignment horizontal="left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left" vertical="center" wrapText="1"/>
    </xf>
    <xf numFmtId="0" fontId="13" fillId="4" borderId="21" xfId="0" applyFont="1" applyFill="1" applyBorder="1" applyAlignment="1">
      <alignment horizontal="left" vertical="center" wrapText="1"/>
    </xf>
    <xf numFmtId="0" fontId="0" fillId="4" borderId="22" xfId="0" applyFont="1" applyFill="1" applyBorder="1" applyAlignment="1">
      <alignment horizontal="left"/>
    </xf>
    <xf numFmtId="0" fontId="13" fillId="4" borderId="23" xfId="0" applyFont="1" applyFill="1" applyBorder="1" applyAlignment="1">
      <alignment horizontal="left" vertical="center" wrapText="1"/>
    </xf>
    <xf numFmtId="0" fontId="0" fillId="4" borderId="22" xfId="0" applyFont="1" applyFill="1" applyBorder="1" applyAlignment="1">
      <alignment horizontal="left" wrapText="1"/>
    </xf>
    <xf numFmtId="0" fontId="13" fillId="4" borderId="11" xfId="0" applyFont="1" applyFill="1" applyBorder="1" applyAlignment="1">
      <alignment horizontal="left" vertical="center" wrapText="1"/>
    </xf>
    <xf numFmtId="0" fontId="11" fillId="0" borderId="12" xfId="0" applyFont="1" applyBorder="1" applyAlignment="1">
      <alignment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2" xfId="0" applyFont="1" applyBorder="1" applyAlignment="1">
      <alignment vertical="center"/>
    </xf>
    <xf numFmtId="0" fontId="15" fillId="4" borderId="11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right" vertical="center" wrapText="1"/>
    </xf>
    <xf numFmtId="0" fontId="9" fillId="3" borderId="11" xfId="0" applyFont="1" applyFill="1" applyBorder="1" applyAlignment="1">
      <alignment vertical="center"/>
    </xf>
    <xf numFmtId="0" fontId="12" fillId="3" borderId="19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0" fillId="0" borderId="0" xfId="0" applyBorder="1"/>
    <xf numFmtId="0" fontId="13" fillId="4" borderId="17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0" fillId="4" borderId="19" xfId="0" applyFont="1" applyFill="1" applyBorder="1" applyAlignment="1">
      <alignment horizontal="left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left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0" fillId="3" borderId="20" xfId="0" applyFont="1" applyFill="1" applyBorder="1" applyAlignment="1">
      <alignment horizontal="center" vertical="center" wrapText="1"/>
    </xf>
    <xf numFmtId="0" fontId="0" fillId="3" borderId="21" xfId="0" applyFont="1" applyFill="1" applyBorder="1" applyAlignment="1">
      <alignment horizontal="center" vertical="center" wrapText="1"/>
    </xf>
    <xf numFmtId="0" fontId="0" fillId="3" borderId="12" xfId="0" applyFont="1" applyFill="1" applyBorder="1" applyAlignment="1">
      <alignment vertical="center"/>
    </xf>
    <xf numFmtId="0" fontId="0" fillId="4" borderId="25" xfId="0" applyFont="1" applyFill="1" applyBorder="1" applyAlignment="1">
      <alignment horizontal="center"/>
    </xf>
    <xf numFmtId="0" fontId="0" fillId="4" borderId="26" xfId="0" applyFont="1" applyFill="1" applyBorder="1" applyAlignment="1">
      <alignment horizontal="center"/>
    </xf>
    <xf numFmtId="0" fontId="0" fillId="0" borderId="0" xfId="0" applyFont="1"/>
    <xf numFmtId="0" fontId="0" fillId="4" borderId="18" xfId="0" applyFont="1" applyFill="1" applyBorder="1" applyAlignment="1">
      <alignment vertical="center"/>
    </xf>
    <xf numFmtId="0" fontId="0" fillId="4" borderId="27" xfId="0" applyFont="1" applyFill="1" applyBorder="1" applyAlignment="1">
      <alignment vertical="center"/>
    </xf>
    <xf numFmtId="0" fontId="0" fillId="4" borderId="11" xfId="0" applyFont="1" applyFill="1" applyBorder="1" applyAlignment="1">
      <alignment vertical="center"/>
    </xf>
    <xf numFmtId="0" fontId="0" fillId="4" borderId="24" xfId="0" applyFont="1" applyFill="1" applyBorder="1" applyAlignment="1">
      <alignment vertical="center"/>
    </xf>
    <xf numFmtId="0" fontId="0" fillId="4" borderId="17" xfId="0" applyFont="1" applyFill="1" applyBorder="1" applyAlignment="1">
      <alignment vertical="center"/>
    </xf>
    <xf numFmtId="0" fontId="0" fillId="3" borderId="20" xfId="0" applyFont="1" applyFill="1" applyBorder="1" applyAlignment="1">
      <alignment horizontal="center" vertical="top" wrapText="1"/>
    </xf>
    <xf numFmtId="0" fontId="0" fillId="3" borderId="21" xfId="0" applyFont="1" applyFill="1" applyBorder="1" applyAlignment="1">
      <alignment horizontal="center" vertical="top"/>
    </xf>
    <xf numFmtId="0" fontId="0" fillId="3" borderId="28" xfId="0" applyFont="1" applyFill="1" applyBorder="1" applyAlignment="1">
      <alignment vertical="center"/>
    </xf>
    <xf numFmtId="0" fontId="0" fillId="4" borderId="29" xfId="0" applyFont="1" applyFill="1" applyBorder="1" applyAlignment="1">
      <alignment horizontal="center"/>
    </xf>
    <xf numFmtId="0" fontId="16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9" fillId="6" borderId="30" xfId="0" applyFont="1" applyFill="1" applyBorder="1" applyAlignment="1">
      <alignment horizontal="center" vertical="center" wrapText="1"/>
    </xf>
    <xf numFmtId="0" fontId="19" fillId="6" borderId="11" xfId="0" applyFont="1" applyFill="1" applyBorder="1" applyAlignment="1">
      <alignment horizontal="center" vertical="center" wrapText="1"/>
    </xf>
    <xf numFmtId="176" fontId="19" fillId="6" borderId="17" xfId="0" applyNumberFormat="1" applyFont="1" applyFill="1" applyBorder="1" applyAlignment="1">
      <alignment horizontal="center" vertical="center" wrapText="1"/>
    </xf>
    <xf numFmtId="0" fontId="18" fillId="7" borderId="30" xfId="0" applyFont="1" applyFill="1" applyBorder="1" applyAlignment="1">
      <alignment horizontal="center" vertical="center" wrapText="1"/>
    </xf>
    <xf numFmtId="0" fontId="18" fillId="7" borderId="11" xfId="0" applyFont="1" applyFill="1" applyBorder="1" applyAlignment="1">
      <alignment horizontal="center" vertical="center" wrapText="1"/>
    </xf>
    <xf numFmtId="0" fontId="18" fillId="7" borderId="17" xfId="0" applyFont="1" applyFill="1" applyBorder="1" applyAlignment="1">
      <alignment horizontal="center" vertical="center" wrapText="1"/>
    </xf>
    <xf numFmtId="0" fontId="18" fillId="7" borderId="11" xfId="0" applyFont="1" applyFill="1" applyBorder="1" applyAlignment="1">
      <alignment vertical="center" wrapText="1"/>
    </xf>
    <xf numFmtId="0" fontId="18" fillId="7" borderId="12" xfId="0" applyFont="1" applyFill="1" applyBorder="1" applyAlignment="1">
      <alignment horizontal="center" vertical="center" wrapText="1"/>
    </xf>
    <xf numFmtId="0" fontId="18" fillId="7" borderId="22" xfId="0" applyFont="1" applyFill="1" applyBorder="1" applyAlignment="1">
      <alignment horizontal="center" vertical="center" wrapText="1"/>
    </xf>
    <xf numFmtId="0" fontId="18" fillId="7" borderId="23" xfId="0" applyFont="1" applyFill="1" applyBorder="1" applyAlignment="1">
      <alignment horizontal="center" vertical="center" wrapText="1"/>
    </xf>
    <xf numFmtId="0" fontId="18" fillId="7" borderId="13" xfId="0" applyFont="1" applyFill="1" applyBorder="1" applyAlignment="1">
      <alignment horizontal="center" vertical="center" wrapText="1"/>
    </xf>
    <xf numFmtId="0" fontId="18" fillId="7" borderId="20" xfId="0" applyFont="1" applyFill="1" applyBorder="1" applyAlignment="1">
      <alignment horizontal="center" vertical="center" wrapText="1"/>
    </xf>
    <xf numFmtId="0" fontId="0" fillId="8" borderId="11" xfId="0" applyFill="1" applyBorder="1"/>
    <xf numFmtId="0" fontId="0" fillId="8" borderId="11" xfId="0" applyFill="1" applyBorder="1" applyAlignment="1"/>
    <xf numFmtId="0" fontId="0" fillId="8" borderId="17" xfId="0" applyFill="1" applyBorder="1" applyAlignment="1">
      <alignment horizontal="center"/>
    </xf>
    <xf numFmtId="0" fontId="0" fillId="8" borderId="25" xfId="0" applyFont="1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 wrapText="1"/>
    </xf>
    <xf numFmtId="0" fontId="18" fillId="9" borderId="25" xfId="0" applyFont="1" applyFill="1" applyBorder="1" applyAlignment="1">
      <alignment horizontal="center" vertical="center" wrapText="1"/>
    </xf>
    <xf numFmtId="0" fontId="0" fillId="9" borderId="31" xfId="0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10" borderId="11" xfId="0" applyFont="1" applyFill="1" applyBorder="1" applyAlignment="1">
      <alignment horizontal="center" vertical="center" wrapText="1"/>
    </xf>
    <xf numFmtId="0" fontId="18" fillId="10" borderId="25" xfId="0" applyFont="1" applyFill="1" applyBorder="1" applyAlignment="1">
      <alignment horizontal="center" vertical="center" wrapText="1"/>
    </xf>
    <xf numFmtId="0" fontId="0" fillId="10" borderId="31" xfId="0" applyFill="1" applyBorder="1" applyAlignment="1">
      <alignment horizontal="center" vertical="center" wrapText="1"/>
    </xf>
    <xf numFmtId="0" fontId="18" fillId="10" borderId="17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 wrapText="1"/>
    </xf>
    <xf numFmtId="176" fontId="19" fillId="6" borderId="18" xfId="0" applyNumberFormat="1" applyFont="1" applyFill="1" applyBorder="1" applyAlignment="1">
      <alignment horizontal="center" vertical="center" wrapText="1"/>
    </xf>
    <xf numFmtId="176" fontId="19" fillId="6" borderId="19" xfId="0" applyNumberFormat="1" applyFont="1" applyFill="1" applyBorder="1" applyAlignment="1">
      <alignment horizontal="center" vertical="center" wrapText="1"/>
    </xf>
    <xf numFmtId="176" fontId="19" fillId="6" borderId="11" xfId="0" applyNumberFormat="1" applyFont="1" applyFill="1" applyBorder="1" applyAlignment="1">
      <alignment horizontal="center" vertical="center" wrapText="1"/>
    </xf>
    <xf numFmtId="0" fontId="18" fillId="7" borderId="18" xfId="0" applyFont="1" applyFill="1" applyBorder="1" applyAlignment="1">
      <alignment horizontal="center" vertical="center" wrapText="1"/>
    </xf>
    <xf numFmtId="0" fontId="18" fillId="7" borderId="19" xfId="0" applyFont="1" applyFill="1" applyBorder="1" applyAlignment="1">
      <alignment horizontal="center" vertical="center" wrapText="1"/>
    </xf>
    <xf numFmtId="0" fontId="18" fillId="7" borderId="16" xfId="0" applyFont="1" applyFill="1" applyBorder="1" applyAlignment="1">
      <alignment horizontal="center" vertical="center" wrapText="1"/>
    </xf>
    <xf numFmtId="0" fontId="18" fillId="7" borderId="14" xfId="0" applyFont="1" applyFill="1" applyBorder="1" applyAlignment="1">
      <alignment horizontal="center" vertical="center" wrapText="1"/>
    </xf>
    <xf numFmtId="0" fontId="18" fillId="7" borderId="32" xfId="0" applyFont="1" applyFill="1" applyBorder="1" applyAlignment="1">
      <alignment horizontal="center" vertical="center" wrapText="1"/>
    </xf>
    <xf numFmtId="0" fontId="18" fillId="7" borderId="21" xfId="0" applyFont="1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18" fillId="9" borderId="18" xfId="0" applyFont="1" applyFill="1" applyBorder="1" applyAlignment="1">
      <alignment horizontal="center"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18" fillId="10" borderId="18" xfId="0" applyFont="1" applyFill="1" applyBorder="1" applyAlignment="1">
      <alignment horizontal="center" vertical="center" wrapText="1"/>
    </xf>
    <xf numFmtId="0" fontId="18" fillId="10" borderId="19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177" fontId="18" fillId="7" borderId="17" xfId="0" applyNumberFormat="1" applyFont="1" applyFill="1" applyBorder="1" applyAlignment="1">
      <alignment horizontal="center" vertical="center" wrapText="1"/>
    </xf>
    <xf numFmtId="177" fontId="18" fillId="7" borderId="18" xfId="0" applyNumberFormat="1" applyFont="1" applyFill="1" applyBorder="1" applyAlignment="1">
      <alignment horizontal="center" vertical="center" wrapText="1"/>
    </xf>
    <xf numFmtId="177" fontId="18" fillId="7" borderId="20" xfId="0" applyNumberFormat="1" applyFont="1" applyFill="1" applyBorder="1" applyAlignment="1">
      <alignment horizontal="center" vertical="center" wrapText="1"/>
    </xf>
    <xf numFmtId="177" fontId="18" fillId="7" borderId="32" xfId="0" applyNumberFormat="1" applyFont="1" applyFill="1" applyBorder="1" applyAlignment="1">
      <alignment horizontal="center" vertical="center" wrapText="1"/>
    </xf>
    <xf numFmtId="177" fontId="20" fillId="7" borderId="17" xfId="0" applyNumberFormat="1" applyFont="1" applyFill="1" applyBorder="1" applyAlignment="1">
      <alignment horizontal="center" vertical="center" wrapText="1"/>
    </xf>
    <xf numFmtId="177" fontId="20" fillId="7" borderId="18" xfId="0" applyNumberFormat="1" applyFont="1" applyFill="1" applyBorder="1" applyAlignment="1">
      <alignment horizontal="center" vertical="center" wrapText="1"/>
    </xf>
    <xf numFmtId="177" fontId="18" fillId="7" borderId="19" xfId="0" applyNumberFormat="1" applyFont="1" applyFill="1" applyBorder="1" applyAlignment="1">
      <alignment horizontal="center" vertical="center" wrapText="1"/>
    </xf>
    <xf numFmtId="0" fontId="21" fillId="7" borderId="20" xfId="0" applyFont="1" applyFill="1" applyBorder="1" applyAlignment="1">
      <alignment horizontal="center" vertical="center" wrapText="1"/>
    </xf>
    <xf numFmtId="0" fontId="21" fillId="7" borderId="32" xfId="0" applyFont="1" applyFill="1" applyBorder="1" applyAlignment="1">
      <alignment horizontal="center" vertical="center" wrapText="1"/>
    </xf>
    <xf numFmtId="0" fontId="21" fillId="7" borderId="33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177" fontId="18" fillId="7" borderId="21" xfId="0" applyNumberFormat="1" applyFont="1" applyFill="1" applyBorder="1" applyAlignment="1">
      <alignment horizontal="center" vertical="center" wrapText="1"/>
    </xf>
    <xf numFmtId="177" fontId="20" fillId="7" borderId="19" xfId="0" applyNumberFormat="1" applyFont="1" applyFill="1" applyBorder="1" applyAlignment="1">
      <alignment horizontal="center" vertical="center" wrapText="1"/>
    </xf>
    <xf numFmtId="0" fontId="21" fillId="7" borderId="13" xfId="0" applyFont="1" applyFill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0" fontId="18" fillId="0" borderId="19" xfId="0" applyFont="1" applyFill="1" applyBorder="1" applyAlignment="1">
      <alignment horizontal="center" vertical="center" wrapText="1"/>
    </xf>
    <xf numFmtId="0" fontId="19" fillId="6" borderId="24" xfId="0" applyFont="1" applyFill="1" applyBorder="1" applyAlignment="1">
      <alignment horizontal="center" vertical="center" wrapText="1"/>
    </xf>
    <xf numFmtId="0" fontId="21" fillId="7" borderId="34" xfId="0" applyFont="1" applyFill="1" applyBorder="1" applyAlignment="1">
      <alignment horizontal="center" vertical="center" wrapText="1"/>
    </xf>
    <xf numFmtId="0" fontId="21" fillId="7" borderId="35" xfId="0" applyFont="1" applyFill="1" applyBorder="1" applyAlignment="1">
      <alignment horizontal="center" vertical="center" wrapText="1"/>
    </xf>
    <xf numFmtId="0" fontId="21" fillId="7" borderId="36" xfId="0" applyFont="1" applyFill="1" applyBorder="1" applyAlignment="1">
      <alignment horizontal="center" vertical="center" wrapText="1"/>
    </xf>
    <xf numFmtId="0" fontId="0" fillId="8" borderId="29" xfId="0" applyFill="1" applyBorder="1" applyAlignment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07_" xfId="49"/>
    <cellStyle name="_ET_STYLE_NoName_00_" xfId="50"/>
    <cellStyle name="常规 12" xfId="51"/>
    <cellStyle name="常规 2" xfId="52"/>
    <cellStyle name="常规 2 2" xfId="53"/>
    <cellStyle name="常规 3" xfId="54"/>
    <cellStyle name="常规 86" xfId="55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E7E6E6"/>
      <color rgb="00FF0000"/>
      <color rgb="00FFFFFF"/>
      <color rgb="00808080"/>
      <color rgb="00BFBFBF"/>
      <color rgb="001F1F1F"/>
      <color rgb="00D9D9D9"/>
      <color rgb="00EDEDED"/>
      <color rgb="00DDEBF7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480060</xdr:colOff>
      <xdr:row>2</xdr:row>
      <xdr:rowOff>161290</xdr:rowOff>
    </xdr:to>
    <xdr:pic>
      <xdr:nvPicPr>
        <xdr:cNvPr id="82979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200150" cy="7150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zoomScale="110" zoomScaleNormal="110" workbookViewId="0">
      <selection activeCell="J9" sqref="J9:M9"/>
    </sheetView>
  </sheetViews>
  <sheetFormatPr defaultColWidth="8.625" defaultRowHeight="17.6"/>
  <cols>
    <col min="1" max="1" width="10.125" customWidth="1"/>
    <col min="2" max="2" width="15.25" customWidth="1"/>
    <col min="3" max="3" width="13" customWidth="1"/>
    <col min="4" max="4" width="5.875" customWidth="1"/>
    <col min="5" max="5" width="5.375" customWidth="1"/>
    <col min="6" max="6" width="5.75" customWidth="1"/>
    <col min="7" max="7" width="10.5" customWidth="1"/>
    <col min="8" max="8" width="12.0446428571429" customWidth="1"/>
    <col min="9" max="9" width="7.32142857142857" customWidth="1"/>
    <col min="10" max="10" width="4.625" customWidth="1"/>
    <col min="11" max="11" width="12.1785714285714" customWidth="1"/>
    <col min="12" max="12" width="3.875" customWidth="1"/>
    <col min="13" max="13" width="5.375" customWidth="1"/>
  </cols>
  <sheetData>
    <row r="1" ht="26" spans="1:17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</row>
    <row r="2" spans="1:17">
      <c r="A2" s="91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</row>
    <row r="3" spans="1:17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</row>
    <row r="4" ht="43.5" customHeight="1" spans="1:17">
      <c r="A4" s="93" t="s">
        <v>2</v>
      </c>
      <c r="B4" s="93"/>
      <c r="C4" s="93" t="s">
        <v>3</v>
      </c>
      <c r="D4" s="94"/>
      <c r="E4" s="120"/>
      <c r="F4" s="121"/>
      <c r="G4" s="93" t="s">
        <v>4</v>
      </c>
      <c r="H4" s="122">
        <v>65.79</v>
      </c>
      <c r="I4" s="93" t="s">
        <v>5</v>
      </c>
      <c r="J4" s="138">
        <v>2</v>
      </c>
      <c r="K4" s="139" t="s">
        <v>6</v>
      </c>
      <c r="L4" s="138">
        <v>1</v>
      </c>
      <c r="M4" s="93" t="s">
        <v>7</v>
      </c>
      <c r="N4" s="94" t="s">
        <v>8</v>
      </c>
      <c r="O4" s="121"/>
      <c r="P4" s="94"/>
      <c r="Q4" s="121"/>
    </row>
    <row r="5" ht="36" spans="1:17">
      <c r="A5" s="93" t="s">
        <v>9</v>
      </c>
      <c r="B5" s="93" t="s">
        <v>10</v>
      </c>
      <c r="C5" s="93"/>
      <c r="D5" s="93"/>
      <c r="E5" s="93"/>
      <c r="F5" s="93"/>
      <c r="G5" s="93"/>
      <c r="H5" s="93"/>
      <c r="I5" s="93" t="s">
        <v>11</v>
      </c>
      <c r="J5" s="140" t="s">
        <v>12</v>
      </c>
      <c r="K5" s="138"/>
      <c r="L5" s="141"/>
      <c r="M5" s="138"/>
      <c r="N5" s="138"/>
      <c r="O5" s="138"/>
      <c r="P5" s="138"/>
      <c r="Q5" s="157"/>
    </row>
    <row r="6" ht="36" spans="1:17">
      <c r="A6" s="93" t="s">
        <v>13</v>
      </c>
      <c r="B6" s="93" t="s">
        <v>14</v>
      </c>
      <c r="C6" s="93" t="s">
        <v>3</v>
      </c>
      <c r="D6" s="94">
        <v>13811795787</v>
      </c>
      <c r="E6" s="120"/>
      <c r="F6" s="121"/>
      <c r="G6" s="93" t="s">
        <v>15</v>
      </c>
      <c r="H6" s="93" t="s">
        <v>16</v>
      </c>
      <c r="I6" s="93" t="s">
        <v>17</v>
      </c>
      <c r="J6" s="94"/>
      <c r="K6" s="120"/>
      <c r="L6" s="120"/>
      <c r="M6" s="121"/>
      <c r="N6" s="94" t="s">
        <v>3</v>
      </c>
      <c r="O6" s="121"/>
      <c r="P6" s="94"/>
      <c r="Q6" s="121"/>
    </row>
    <row r="7" ht="18" spans="1:17">
      <c r="A7" s="95" t="s">
        <v>18</v>
      </c>
      <c r="B7" s="96" t="s">
        <v>19</v>
      </c>
      <c r="C7" s="96"/>
      <c r="D7" s="97" t="s">
        <v>20</v>
      </c>
      <c r="E7" s="123"/>
      <c r="F7" s="124"/>
      <c r="G7" s="125"/>
      <c r="H7" s="125"/>
      <c r="I7" s="125"/>
      <c r="J7" s="125" t="s">
        <v>21</v>
      </c>
      <c r="K7" s="125"/>
      <c r="L7" s="125"/>
      <c r="M7" s="125"/>
      <c r="N7" s="96" t="s">
        <v>22</v>
      </c>
      <c r="O7" s="96"/>
      <c r="P7" s="96"/>
      <c r="Q7" s="158"/>
    </row>
    <row r="8" ht="22.5" customHeight="1" spans="1:17">
      <c r="A8" s="98"/>
      <c r="B8" s="99" t="s">
        <v>23</v>
      </c>
      <c r="C8" s="99"/>
      <c r="D8" s="100">
        <v>149209</v>
      </c>
      <c r="E8" s="126"/>
      <c r="F8" s="127"/>
      <c r="G8" s="100"/>
      <c r="H8" s="126"/>
      <c r="I8" s="127"/>
      <c r="J8" s="142">
        <v>149209</v>
      </c>
      <c r="K8" s="143"/>
      <c r="L8" s="143"/>
      <c r="M8" s="148"/>
      <c r="N8" s="149" t="s">
        <v>24</v>
      </c>
      <c r="O8" s="150"/>
      <c r="P8" s="150"/>
      <c r="Q8" s="159"/>
    </row>
    <row r="9" ht="18" spans="1:17">
      <c r="A9" s="98"/>
      <c r="B9" s="99" t="s">
        <v>25</v>
      </c>
      <c r="C9" s="99"/>
      <c r="D9" s="100">
        <v>6110</v>
      </c>
      <c r="E9" s="126"/>
      <c r="F9" s="127"/>
      <c r="G9" s="100"/>
      <c r="H9" s="126"/>
      <c r="I9" s="127"/>
      <c r="J9" s="142">
        <v>6110</v>
      </c>
      <c r="K9" s="143"/>
      <c r="L9" s="143"/>
      <c r="M9" s="148"/>
      <c r="N9" s="151"/>
      <c r="O9" s="152"/>
      <c r="P9" s="152"/>
      <c r="Q9" s="160"/>
    </row>
    <row r="10" ht="18" spans="1:17">
      <c r="A10" s="101"/>
      <c r="B10" s="99" t="s">
        <v>26</v>
      </c>
      <c r="C10" s="101"/>
      <c r="D10" s="100">
        <v>1076.33</v>
      </c>
      <c r="E10" s="126"/>
      <c r="F10" s="127"/>
      <c r="G10" s="100"/>
      <c r="H10" s="126"/>
      <c r="I10" s="127"/>
      <c r="J10" s="142">
        <v>968.7</v>
      </c>
      <c r="K10" s="143"/>
      <c r="L10" s="143"/>
      <c r="M10" s="148"/>
      <c r="N10" s="151"/>
      <c r="O10" s="152"/>
      <c r="P10" s="152"/>
      <c r="Q10" s="160"/>
    </row>
    <row r="11" ht="18" spans="1:17">
      <c r="A11" s="101"/>
      <c r="B11" s="102" t="s">
        <v>27</v>
      </c>
      <c r="C11" s="101"/>
      <c r="D11" s="103">
        <v>9430.6</v>
      </c>
      <c r="E11" s="103"/>
      <c r="F11" s="103"/>
      <c r="G11" s="100"/>
      <c r="H11" s="126"/>
      <c r="I11" s="127"/>
      <c r="J11" s="142">
        <v>8487.54</v>
      </c>
      <c r="K11" s="143"/>
      <c r="L11" s="143"/>
      <c r="M11" s="148"/>
      <c r="N11" s="151"/>
      <c r="O11" s="152"/>
      <c r="P11" s="152"/>
      <c r="Q11" s="160"/>
    </row>
    <row r="12" ht="18" spans="1:17">
      <c r="A12" s="101"/>
      <c r="B12" s="104" t="s">
        <v>28</v>
      </c>
      <c r="C12" s="101"/>
      <c r="D12" s="105">
        <v>1154.25</v>
      </c>
      <c r="E12" s="128"/>
      <c r="F12" s="129"/>
      <c r="G12" s="100"/>
      <c r="H12" s="126"/>
      <c r="I12" s="127"/>
      <c r="J12" s="142">
        <v>1038.83</v>
      </c>
      <c r="K12" s="143"/>
      <c r="L12" s="143"/>
      <c r="M12" s="148"/>
      <c r="N12" s="151"/>
      <c r="O12" s="152"/>
      <c r="P12" s="152"/>
      <c r="Q12" s="160"/>
    </row>
    <row r="13" ht="18" spans="1:17">
      <c r="A13" s="101"/>
      <c r="B13" s="102" t="s">
        <v>29</v>
      </c>
      <c r="C13" s="101"/>
      <c r="D13" s="106">
        <v>1183.32</v>
      </c>
      <c r="E13" s="130"/>
      <c r="F13" s="131"/>
      <c r="G13" s="100"/>
      <c r="H13" s="126"/>
      <c r="I13" s="127"/>
      <c r="J13" s="142">
        <v>1064.99</v>
      </c>
      <c r="K13" s="143"/>
      <c r="L13" s="143"/>
      <c r="M13" s="148"/>
      <c r="N13" s="151"/>
      <c r="O13" s="152"/>
      <c r="P13" s="152"/>
      <c r="Q13" s="160"/>
    </row>
    <row r="14" ht="18" spans="1:17">
      <c r="A14" s="101"/>
      <c r="B14" s="99" t="s">
        <v>30</v>
      </c>
      <c r="C14" s="101"/>
      <c r="D14" s="106">
        <v>1636.32</v>
      </c>
      <c r="E14" s="130"/>
      <c r="F14" s="131"/>
      <c r="G14" s="100"/>
      <c r="H14" s="126"/>
      <c r="I14" s="127"/>
      <c r="J14" s="142">
        <v>1472.69</v>
      </c>
      <c r="K14" s="143"/>
      <c r="L14" s="143"/>
      <c r="M14" s="148"/>
      <c r="N14" s="151"/>
      <c r="O14" s="152"/>
      <c r="P14" s="152"/>
      <c r="Q14" s="160"/>
    </row>
    <row r="15" ht="18" spans="1:17">
      <c r="A15" s="101"/>
      <c r="B15" s="102" t="s">
        <v>31</v>
      </c>
      <c r="C15" s="101"/>
      <c r="D15" s="106">
        <v>2622.93</v>
      </c>
      <c r="E15" s="130"/>
      <c r="F15" s="131"/>
      <c r="G15" s="100"/>
      <c r="H15" s="126"/>
      <c r="I15" s="127"/>
      <c r="J15" s="142">
        <v>2360.64</v>
      </c>
      <c r="K15" s="143"/>
      <c r="L15" s="143"/>
      <c r="M15" s="148"/>
      <c r="N15" s="151"/>
      <c r="O15" s="152"/>
      <c r="P15" s="152"/>
      <c r="Q15" s="160"/>
    </row>
    <row r="16" ht="18" spans="1:17">
      <c r="A16" s="101"/>
      <c r="B16" s="102" t="s">
        <v>32</v>
      </c>
      <c r="C16" s="101"/>
      <c r="D16" s="106">
        <v>8018</v>
      </c>
      <c r="E16" s="130"/>
      <c r="F16" s="131"/>
      <c r="G16" s="100"/>
      <c r="H16" s="126"/>
      <c r="I16" s="127"/>
      <c r="J16" s="142">
        <v>7216.2</v>
      </c>
      <c r="K16" s="143"/>
      <c r="L16" s="143"/>
      <c r="M16" s="148"/>
      <c r="N16" s="151"/>
      <c r="O16" s="152"/>
      <c r="P16" s="152"/>
      <c r="Q16" s="160"/>
    </row>
    <row r="17" ht="18" spans="1:17">
      <c r="A17" s="101"/>
      <c r="B17" s="102" t="s">
        <v>33</v>
      </c>
      <c r="C17" s="99"/>
      <c r="D17" s="106">
        <v>4013.19</v>
      </c>
      <c r="E17" s="130"/>
      <c r="F17" s="131"/>
      <c r="G17" s="100"/>
      <c r="H17" s="126"/>
      <c r="I17" s="127"/>
      <c r="J17" s="144">
        <v>4013.19</v>
      </c>
      <c r="K17" s="145"/>
      <c r="L17" s="145"/>
      <c r="M17" s="153"/>
      <c r="N17" s="151"/>
      <c r="O17" s="152"/>
      <c r="P17" s="152"/>
      <c r="Q17" s="160"/>
    </row>
    <row r="18" spans="1:17">
      <c r="A18" s="107"/>
      <c r="B18" s="102"/>
      <c r="C18" s="99"/>
      <c r="D18" s="106"/>
      <c r="E18" s="130"/>
      <c r="F18" s="131"/>
      <c r="G18" s="100"/>
      <c r="H18" s="126"/>
      <c r="I18" s="127"/>
      <c r="J18" s="144"/>
      <c r="K18" s="145"/>
      <c r="L18" s="145"/>
      <c r="M18" s="153"/>
      <c r="N18" s="151"/>
      <c r="O18" s="152"/>
      <c r="P18" s="152"/>
      <c r="Q18" s="160"/>
    </row>
    <row r="19" spans="1:17">
      <c r="A19" s="107"/>
      <c r="B19" s="102"/>
      <c r="C19" s="99"/>
      <c r="D19" s="106">
        <f>SUM(D8:D18)</f>
        <v>184453.94</v>
      </c>
      <c r="E19" s="130"/>
      <c r="F19" s="131"/>
      <c r="G19" s="100"/>
      <c r="H19" s="126"/>
      <c r="I19" s="127"/>
      <c r="J19" s="144">
        <f>SUM(J8:J18)</f>
        <v>181941.78</v>
      </c>
      <c r="K19" s="145"/>
      <c r="L19" s="145"/>
      <c r="M19" s="153"/>
      <c r="N19" s="151"/>
      <c r="O19" s="152"/>
      <c r="P19" s="152"/>
      <c r="Q19" s="160"/>
    </row>
    <row r="20" ht="37.5" customHeight="1" spans="1:17">
      <c r="A20" s="107"/>
      <c r="B20" s="99" t="s">
        <v>34</v>
      </c>
      <c r="C20" s="99"/>
      <c r="D20" s="100"/>
      <c r="E20" s="126"/>
      <c r="F20" s="127"/>
      <c r="G20" s="100"/>
      <c r="H20" s="126"/>
      <c r="I20" s="127"/>
      <c r="J20" s="142">
        <v>21463.12</v>
      </c>
      <c r="K20" s="143"/>
      <c r="L20" s="143"/>
      <c r="M20" s="148"/>
      <c r="N20" s="151"/>
      <c r="O20" s="152"/>
      <c r="P20" s="152"/>
      <c r="Q20" s="160"/>
    </row>
    <row r="21" ht="35.25" customHeight="1" spans="1:17">
      <c r="A21" s="108"/>
      <c r="B21" s="108"/>
      <c r="C21" s="108"/>
      <c r="D21" s="109"/>
      <c r="E21" s="132"/>
      <c r="F21" s="133"/>
      <c r="G21" s="100"/>
      <c r="H21" s="126"/>
      <c r="I21" s="127"/>
      <c r="J21" s="146">
        <f>J19-J20</f>
        <v>160478.66</v>
      </c>
      <c r="K21" s="147"/>
      <c r="L21" s="147"/>
      <c r="M21" s="154"/>
      <c r="N21" s="155"/>
      <c r="O21" s="156"/>
      <c r="P21" s="156"/>
      <c r="Q21" s="161"/>
    </row>
    <row r="22" ht="27.75" customHeight="1" spans="1:17">
      <c r="A22" s="110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62"/>
    </row>
    <row r="23" ht="23.25" customHeight="1" spans="1:17">
      <c r="A23" s="112"/>
      <c r="B23" s="113" t="s">
        <v>36</v>
      </c>
      <c r="C23" s="114"/>
      <c r="D23" s="115"/>
      <c r="E23" s="134"/>
      <c r="F23" s="135"/>
      <c r="G23" s="112"/>
      <c r="H23" s="112"/>
      <c r="I23" s="112"/>
      <c r="J23" s="115"/>
      <c r="K23" s="134"/>
      <c r="L23" s="134"/>
      <c r="M23" s="135"/>
      <c r="N23" s="115"/>
      <c r="O23" s="135"/>
      <c r="P23" s="115"/>
      <c r="Q23" s="135"/>
    </row>
    <row r="24" ht="23.25" customHeight="1" spans="1:17">
      <c r="A24" s="116"/>
      <c r="B24" s="117" t="s">
        <v>37</v>
      </c>
      <c r="C24" s="118"/>
      <c r="D24" s="119"/>
      <c r="E24" s="136"/>
      <c r="F24" s="137"/>
      <c r="G24" s="116"/>
      <c r="H24" s="116"/>
      <c r="I24" s="116"/>
      <c r="J24" s="119"/>
      <c r="K24" s="136"/>
      <c r="L24" s="136"/>
      <c r="M24" s="137"/>
      <c r="N24" s="119"/>
      <c r="O24" s="137"/>
      <c r="P24" s="119"/>
      <c r="Q24" s="137"/>
    </row>
    <row r="25" ht="24" customHeight="1" spans="1:17">
      <c r="A25" s="116"/>
      <c r="B25" s="117" t="s">
        <v>38</v>
      </c>
      <c r="C25" s="118"/>
      <c r="D25" s="119"/>
      <c r="E25" s="136"/>
      <c r="F25" s="137"/>
      <c r="G25" s="116"/>
      <c r="H25" s="116"/>
      <c r="I25" s="116"/>
      <c r="J25" s="119"/>
      <c r="K25" s="136"/>
      <c r="L25" s="136"/>
      <c r="M25" s="137"/>
      <c r="N25" s="119"/>
      <c r="O25" s="137"/>
      <c r="P25" s="119"/>
      <c r="Q25" s="137"/>
    </row>
    <row r="26" ht="22.5" customHeight="1" spans="1:17">
      <c r="A26" s="116"/>
      <c r="B26" s="117" t="s">
        <v>39</v>
      </c>
      <c r="C26" s="118"/>
      <c r="D26" s="119"/>
      <c r="E26" s="136"/>
      <c r="F26" s="137"/>
      <c r="G26" s="116"/>
      <c r="H26" s="116"/>
      <c r="I26" s="116"/>
      <c r="J26" s="119"/>
      <c r="K26" s="136"/>
      <c r="L26" s="136"/>
      <c r="M26" s="137"/>
      <c r="N26" s="119"/>
      <c r="O26" s="137"/>
      <c r="P26" s="119"/>
      <c r="Q26" s="137"/>
    </row>
    <row r="27" ht="24.75" customHeight="1" spans="1:17">
      <c r="A27" s="116"/>
      <c r="B27" s="117" t="s">
        <v>40</v>
      </c>
      <c r="C27" s="118"/>
      <c r="D27" s="119"/>
      <c r="E27" s="136"/>
      <c r="F27" s="137"/>
      <c r="G27" s="116"/>
      <c r="H27" s="116"/>
      <c r="I27" s="116"/>
      <c r="J27" s="119"/>
      <c r="K27" s="136"/>
      <c r="L27" s="136"/>
      <c r="M27" s="137"/>
      <c r="N27" s="119"/>
      <c r="O27" s="137"/>
      <c r="P27" s="119"/>
      <c r="Q27" s="137"/>
    </row>
    <row r="28" ht="23.25" customHeight="1" spans="1:17">
      <c r="A28" s="116"/>
      <c r="B28" s="117" t="s">
        <v>41</v>
      </c>
      <c r="C28" s="118"/>
      <c r="D28" s="119"/>
      <c r="E28" s="136"/>
      <c r="F28" s="137"/>
      <c r="G28" s="116"/>
      <c r="H28" s="116"/>
      <c r="I28" s="116"/>
      <c r="J28" s="119"/>
      <c r="K28" s="136"/>
      <c r="L28" s="136"/>
      <c r="M28" s="137"/>
      <c r="N28" s="119"/>
      <c r="O28" s="137"/>
      <c r="P28" s="119"/>
      <c r="Q28" s="137"/>
    </row>
    <row r="29" ht="22.5" customHeight="1" spans="1:17">
      <c r="A29" s="116"/>
      <c r="B29" s="117" t="s">
        <v>42</v>
      </c>
      <c r="C29" s="118"/>
      <c r="D29" s="119"/>
      <c r="E29" s="136"/>
      <c r="F29" s="137"/>
      <c r="G29" s="116"/>
      <c r="H29" s="116"/>
      <c r="I29" s="116"/>
      <c r="J29" s="119"/>
      <c r="K29" s="136"/>
      <c r="L29" s="136"/>
      <c r="M29" s="137"/>
      <c r="N29" s="119"/>
      <c r="O29" s="137"/>
      <c r="P29" s="119"/>
      <c r="Q29" s="137"/>
    </row>
    <row r="30" ht="21" customHeight="1" spans="1:17">
      <c r="A30" s="116"/>
      <c r="B30" s="117" t="s">
        <v>43</v>
      </c>
      <c r="C30" s="118"/>
      <c r="D30" s="119"/>
      <c r="E30" s="136"/>
      <c r="F30" s="137"/>
      <c r="G30" s="116"/>
      <c r="H30" s="116"/>
      <c r="I30" s="116"/>
      <c r="J30" s="119"/>
      <c r="K30" s="136"/>
      <c r="L30" s="136"/>
      <c r="M30" s="137"/>
      <c r="N30" s="119"/>
      <c r="O30" s="137"/>
      <c r="P30" s="119"/>
      <c r="Q30" s="137"/>
    </row>
    <row r="31" ht="21.75" customHeight="1" spans="1:17">
      <c r="A31" s="116"/>
      <c r="B31" s="117" t="s">
        <v>44</v>
      </c>
      <c r="C31" s="118"/>
      <c r="D31" s="119"/>
      <c r="E31" s="136"/>
      <c r="F31" s="137"/>
      <c r="G31" s="116"/>
      <c r="H31" s="116"/>
      <c r="I31" s="116"/>
      <c r="J31" s="119"/>
      <c r="K31" s="136"/>
      <c r="L31" s="136"/>
      <c r="M31" s="137"/>
      <c r="N31" s="119"/>
      <c r="O31" s="137"/>
      <c r="P31" s="119"/>
      <c r="Q31" s="137"/>
    </row>
    <row r="32" spans="1:17">
      <c r="A32" s="116"/>
      <c r="B32" s="117"/>
      <c r="C32" s="118"/>
      <c r="D32" s="119"/>
      <c r="E32" s="136"/>
      <c r="F32" s="137"/>
      <c r="G32" s="116"/>
      <c r="H32" s="116"/>
      <c r="I32" s="116"/>
      <c r="J32" s="119"/>
      <c r="K32" s="136"/>
      <c r="L32" s="136"/>
      <c r="M32" s="137"/>
      <c r="N32" s="119"/>
      <c r="O32" s="137"/>
      <c r="P32" s="119"/>
      <c r="Q32" s="137"/>
    </row>
    <row r="33" spans="1:17">
      <c r="A33" s="116"/>
      <c r="B33" s="117"/>
      <c r="C33" s="118"/>
      <c r="D33" s="119"/>
      <c r="E33" s="136"/>
      <c r="F33" s="137"/>
      <c r="G33" s="116"/>
      <c r="H33" s="116"/>
      <c r="I33" s="116"/>
      <c r="J33" s="119"/>
      <c r="K33" s="136"/>
      <c r="L33" s="136"/>
      <c r="M33" s="137"/>
      <c r="N33" s="119"/>
      <c r="O33" s="137"/>
      <c r="P33" s="119"/>
      <c r="Q33" s="137"/>
    </row>
    <row r="34" spans="1:17">
      <c r="A34" s="116"/>
      <c r="B34" s="117"/>
      <c r="C34" s="118"/>
      <c r="D34" s="119"/>
      <c r="E34" s="136"/>
      <c r="F34" s="137"/>
      <c r="G34" s="116"/>
      <c r="H34" s="116"/>
      <c r="I34" s="116"/>
      <c r="J34" s="119"/>
      <c r="K34" s="136"/>
      <c r="L34" s="136"/>
      <c r="M34" s="137"/>
      <c r="N34" s="119"/>
      <c r="O34" s="137"/>
      <c r="P34" s="119"/>
      <c r="Q34" s="137"/>
    </row>
    <row r="35" spans="1:17">
      <c r="A35" s="116"/>
      <c r="B35" s="117"/>
      <c r="C35" s="118"/>
      <c r="D35" s="119"/>
      <c r="E35" s="136"/>
      <c r="F35" s="137"/>
      <c r="G35" s="116"/>
      <c r="H35" s="116"/>
      <c r="I35" s="116"/>
      <c r="J35" s="119"/>
      <c r="K35" s="136"/>
      <c r="L35" s="136"/>
      <c r="M35" s="137"/>
      <c r="N35" s="119"/>
      <c r="O35" s="137"/>
      <c r="P35" s="119"/>
      <c r="Q35" s="137"/>
    </row>
  </sheetData>
  <mergeCells count="125">
    <mergeCell ref="A1:Q1"/>
    <mergeCell ref="A2:Q2"/>
    <mergeCell ref="A3:Q3"/>
    <mergeCell ref="D4:F4"/>
    <mergeCell ref="N4:O4"/>
    <mergeCell ref="P4:Q4"/>
    <mergeCell ref="B5:H5"/>
    <mergeCell ref="J5:Q5"/>
    <mergeCell ref="D6:F6"/>
    <mergeCell ref="J6:M6"/>
    <mergeCell ref="N6:O6"/>
    <mergeCell ref="P6:Q6"/>
    <mergeCell ref="D7:F7"/>
    <mergeCell ref="G7:I7"/>
    <mergeCell ref="J7:M7"/>
    <mergeCell ref="N7:Q7"/>
    <mergeCell ref="D8:F8"/>
    <mergeCell ref="G8:I8"/>
    <mergeCell ref="J8:M8"/>
    <mergeCell ref="D9:F9"/>
    <mergeCell ref="G9:I9"/>
    <mergeCell ref="J9:M9"/>
    <mergeCell ref="D10:F10"/>
    <mergeCell ref="G10:I10"/>
    <mergeCell ref="J10:M10"/>
    <mergeCell ref="D11:F11"/>
    <mergeCell ref="G11:I11"/>
    <mergeCell ref="J11:M11"/>
    <mergeCell ref="D12:F12"/>
    <mergeCell ref="G12:I12"/>
    <mergeCell ref="J12:M12"/>
    <mergeCell ref="D13:F13"/>
    <mergeCell ref="G13:I13"/>
    <mergeCell ref="J13:M13"/>
    <mergeCell ref="D14:F14"/>
    <mergeCell ref="G14:I14"/>
    <mergeCell ref="J14:M14"/>
    <mergeCell ref="D15:F15"/>
    <mergeCell ref="G15:I15"/>
    <mergeCell ref="J15:M15"/>
    <mergeCell ref="D16:F16"/>
    <mergeCell ref="G16:I16"/>
    <mergeCell ref="J16:M16"/>
    <mergeCell ref="D17:F17"/>
    <mergeCell ref="G17:I17"/>
    <mergeCell ref="J17:M17"/>
    <mergeCell ref="D18:F18"/>
    <mergeCell ref="G18:I18"/>
    <mergeCell ref="J18:M18"/>
    <mergeCell ref="D19:F19"/>
    <mergeCell ref="G19:I19"/>
    <mergeCell ref="J19:M19"/>
    <mergeCell ref="D20:F20"/>
    <mergeCell ref="G20:I20"/>
    <mergeCell ref="J20:M20"/>
    <mergeCell ref="D21:F21"/>
    <mergeCell ref="G21:I21"/>
    <mergeCell ref="J21:M21"/>
    <mergeCell ref="A22:Q22"/>
    <mergeCell ref="B23:C23"/>
    <mergeCell ref="D23:F23"/>
    <mergeCell ref="J23:M23"/>
    <mergeCell ref="N23:O23"/>
    <mergeCell ref="P23:Q23"/>
    <mergeCell ref="B24:C24"/>
    <mergeCell ref="D24:F24"/>
    <mergeCell ref="J24:M24"/>
    <mergeCell ref="N24:O24"/>
    <mergeCell ref="P24:Q24"/>
    <mergeCell ref="B25:C25"/>
    <mergeCell ref="D25:F25"/>
    <mergeCell ref="J25:M25"/>
    <mergeCell ref="N25:O25"/>
    <mergeCell ref="P25:Q25"/>
    <mergeCell ref="B26:C26"/>
    <mergeCell ref="D26:F26"/>
    <mergeCell ref="J26:M26"/>
    <mergeCell ref="N26:O26"/>
    <mergeCell ref="P26:Q26"/>
    <mergeCell ref="B27:C27"/>
    <mergeCell ref="D27:F27"/>
    <mergeCell ref="J27:M27"/>
    <mergeCell ref="N27:O27"/>
    <mergeCell ref="P27:Q27"/>
    <mergeCell ref="B28:C28"/>
    <mergeCell ref="D28:F28"/>
    <mergeCell ref="J28:M28"/>
    <mergeCell ref="N28:O28"/>
    <mergeCell ref="P28:Q28"/>
    <mergeCell ref="B29:C29"/>
    <mergeCell ref="D29:F29"/>
    <mergeCell ref="J29:M29"/>
    <mergeCell ref="N29:O29"/>
    <mergeCell ref="P29:Q29"/>
    <mergeCell ref="B30:C30"/>
    <mergeCell ref="D30:F30"/>
    <mergeCell ref="J30:M30"/>
    <mergeCell ref="N30:O30"/>
    <mergeCell ref="P30:Q30"/>
    <mergeCell ref="B31:C31"/>
    <mergeCell ref="D31:F31"/>
    <mergeCell ref="J31:M31"/>
    <mergeCell ref="N31:O31"/>
    <mergeCell ref="P31:Q31"/>
    <mergeCell ref="B32:C32"/>
    <mergeCell ref="D32:F32"/>
    <mergeCell ref="J32:M32"/>
    <mergeCell ref="N32:O32"/>
    <mergeCell ref="P32:Q32"/>
    <mergeCell ref="B33:C33"/>
    <mergeCell ref="D33:F33"/>
    <mergeCell ref="J33:M33"/>
    <mergeCell ref="N33:O33"/>
    <mergeCell ref="P33:Q33"/>
    <mergeCell ref="B34:C34"/>
    <mergeCell ref="D34:F34"/>
    <mergeCell ref="J34:M34"/>
    <mergeCell ref="N34:O34"/>
    <mergeCell ref="P34:Q34"/>
    <mergeCell ref="B35:C35"/>
    <mergeCell ref="D35:F35"/>
    <mergeCell ref="J35:M35"/>
    <mergeCell ref="N35:O35"/>
    <mergeCell ref="P35:Q35"/>
    <mergeCell ref="N8:Q21"/>
  </mergeCells>
  <pageMargins left="0.75" right="0.75" top="1" bottom="1" header="0.5" footer="0.5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9"/>
  <sheetViews>
    <sheetView zoomScale="90" zoomScaleNormal="90" topLeftCell="A29" workbookViewId="0">
      <selection activeCell="B49" sqref="B49:C49"/>
    </sheetView>
  </sheetViews>
  <sheetFormatPr defaultColWidth="8.625" defaultRowHeight="17.6"/>
  <cols>
    <col min="1" max="1" width="17" customWidth="1"/>
    <col min="3" max="3" width="61.3392857142857" customWidth="1"/>
    <col min="4" max="4" width="4.25" customWidth="1"/>
    <col min="5" max="5" width="2.375" customWidth="1"/>
    <col min="6" max="6" width="5.875" customWidth="1"/>
    <col min="7" max="7" width="7.25" customWidth="1"/>
    <col min="8" max="8" width="19.625" customWidth="1"/>
  </cols>
  <sheetData>
    <row r="1" spans="1:8">
      <c r="A1" s="22" t="s">
        <v>45</v>
      </c>
      <c r="B1" s="23"/>
      <c r="C1" s="23"/>
      <c r="D1" s="23"/>
      <c r="E1" s="23"/>
      <c r="F1" s="23"/>
      <c r="G1" s="23"/>
      <c r="H1" s="23"/>
    </row>
    <row r="2" ht="53" spans="1:8">
      <c r="A2" s="24" t="s">
        <v>46</v>
      </c>
      <c r="B2" s="25" t="s">
        <v>10</v>
      </c>
      <c r="C2" s="25"/>
      <c r="D2" s="25"/>
      <c r="E2" s="25"/>
      <c r="F2" s="54" t="s">
        <v>47</v>
      </c>
      <c r="G2" s="55">
        <v>65.79</v>
      </c>
      <c r="H2" s="56" t="s">
        <v>48</v>
      </c>
    </row>
    <row r="3" ht="18" spans="1:9">
      <c r="A3" s="26" t="s">
        <v>49</v>
      </c>
      <c r="B3" s="27">
        <v>149209</v>
      </c>
      <c r="C3" s="27"/>
      <c r="D3" s="27"/>
      <c r="E3" s="27"/>
      <c r="F3" s="27"/>
      <c r="G3" s="27"/>
      <c r="H3" s="27"/>
      <c r="I3" s="65"/>
    </row>
    <row r="4" ht="18" customHeight="1" spans="1:9">
      <c r="A4" s="28"/>
      <c r="B4" s="29"/>
      <c r="C4" s="30"/>
      <c r="D4" s="31"/>
      <c r="E4" s="31"/>
      <c r="F4" s="31"/>
      <c r="G4" s="31"/>
      <c r="H4" s="57"/>
      <c r="I4" s="65"/>
    </row>
    <row r="5" ht="18" spans="1:8">
      <c r="A5" s="32" t="s">
        <v>50</v>
      </c>
      <c r="B5" s="33">
        <v>6110</v>
      </c>
      <c r="C5" s="34"/>
      <c r="D5" s="34"/>
      <c r="E5" s="34"/>
      <c r="F5" s="34"/>
      <c r="G5" s="34"/>
      <c r="H5" s="58"/>
    </row>
    <row r="6" spans="1:8">
      <c r="A6" s="35"/>
      <c r="B6" s="36" t="s">
        <v>51</v>
      </c>
      <c r="C6" s="37"/>
      <c r="D6" s="37"/>
      <c r="E6" s="37"/>
      <c r="F6" s="37"/>
      <c r="G6" s="59"/>
      <c r="H6" s="60"/>
    </row>
    <row r="7" spans="1:8">
      <c r="A7" s="38" t="s">
        <v>52</v>
      </c>
      <c r="B7" s="38"/>
      <c r="C7" s="38"/>
      <c r="D7" s="38"/>
      <c r="E7" s="38"/>
      <c r="F7" s="38"/>
      <c r="G7" s="38"/>
      <c r="H7" s="61">
        <f>B3+B5</f>
        <v>155319</v>
      </c>
    </row>
    <row r="8" ht="17.1" customHeight="1" spans="1:8">
      <c r="A8" s="26" t="s">
        <v>53</v>
      </c>
      <c r="B8" s="39" t="s">
        <v>54</v>
      </c>
      <c r="C8" s="40"/>
      <c r="D8" s="40"/>
      <c r="E8" s="40"/>
      <c r="F8" s="40"/>
      <c r="G8" s="40"/>
      <c r="H8" s="62"/>
    </row>
    <row r="9" ht="18" spans="1:8">
      <c r="A9" s="28">
        <v>1</v>
      </c>
      <c r="B9" s="29" t="s">
        <v>55</v>
      </c>
      <c r="C9" s="30"/>
      <c r="D9" s="31" t="s">
        <v>56</v>
      </c>
      <c r="E9" s="31"/>
      <c r="F9" s="31"/>
      <c r="G9" s="31"/>
      <c r="H9" s="57" t="s">
        <v>54</v>
      </c>
    </row>
    <row r="10" ht="18" spans="1:8">
      <c r="A10" s="28">
        <v>2</v>
      </c>
      <c r="B10" s="29" t="s">
        <v>57</v>
      </c>
      <c r="C10" s="30"/>
      <c r="D10" s="31" t="s">
        <v>56</v>
      </c>
      <c r="E10" s="31"/>
      <c r="F10" s="31"/>
      <c r="G10" s="31"/>
      <c r="H10" s="28" t="s">
        <v>54</v>
      </c>
    </row>
    <row r="11" ht="18" spans="1:8">
      <c r="A11" s="28">
        <v>3</v>
      </c>
      <c r="B11" s="41" t="s">
        <v>58</v>
      </c>
      <c r="C11" s="42"/>
      <c r="D11" s="31" t="s">
        <v>56</v>
      </c>
      <c r="E11" s="31"/>
      <c r="F11" s="31"/>
      <c r="G11" s="31"/>
      <c r="H11" s="28" t="s">
        <v>54</v>
      </c>
    </row>
    <row r="12" ht="18" spans="1:8">
      <c r="A12" s="28">
        <v>4</v>
      </c>
      <c r="B12" s="41" t="s">
        <v>59</v>
      </c>
      <c r="C12" s="42"/>
      <c r="D12" s="31" t="s">
        <v>56</v>
      </c>
      <c r="E12" s="31"/>
      <c r="F12" s="31"/>
      <c r="G12" s="31"/>
      <c r="H12" s="28" t="s">
        <v>54</v>
      </c>
    </row>
    <row r="13" ht="18" spans="1:8">
      <c r="A13" s="28">
        <v>5</v>
      </c>
      <c r="B13" s="41" t="s">
        <v>60</v>
      </c>
      <c r="C13" s="42"/>
      <c r="D13" s="31" t="s">
        <v>56</v>
      </c>
      <c r="E13" s="28"/>
      <c r="F13" s="28"/>
      <c r="G13" s="28"/>
      <c r="H13" s="28" t="s">
        <v>54</v>
      </c>
    </row>
    <row r="14" spans="1:8">
      <c r="A14" s="28">
        <v>6</v>
      </c>
      <c r="B14" s="41" t="s">
        <v>61</v>
      </c>
      <c r="C14" s="42"/>
      <c r="D14" s="31"/>
      <c r="E14" s="28"/>
      <c r="F14" s="28"/>
      <c r="G14" s="28"/>
      <c r="H14" s="28"/>
    </row>
    <row r="15" ht="30" customHeight="1" spans="1:8">
      <c r="A15" s="28">
        <v>7</v>
      </c>
      <c r="B15" s="41" t="s">
        <v>62</v>
      </c>
      <c r="C15" s="42"/>
      <c r="D15" s="31" t="s">
        <v>56</v>
      </c>
      <c r="E15" s="28"/>
      <c r="F15" s="28"/>
      <c r="G15" s="28"/>
      <c r="H15" s="28" t="s">
        <v>54</v>
      </c>
    </row>
    <row r="16" ht="18" spans="1:8">
      <c r="A16" s="28">
        <v>8</v>
      </c>
      <c r="B16" s="41" t="s">
        <v>63</v>
      </c>
      <c r="C16" s="42"/>
      <c r="D16" s="31" t="s">
        <v>56</v>
      </c>
      <c r="E16" s="28"/>
      <c r="F16" s="28"/>
      <c r="G16" s="28"/>
      <c r="H16" s="28" t="s">
        <v>54</v>
      </c>
    </row>
    <row r="17" ht="18" spans="1:8">
      <c r="A17" s="28">
        <v>9</v>
      </c>
      <c r="B17" s="41" t="s">
        <v>64</v>
      </c>
      <c r="C17" s="42"/>
      <c r="D17" s="31" t="s">
        <v>56</v>
      </c>
      <c r="E17" s="28"/>
      <c r="F17" s="28"/>
      <c r="G17" s="28"/>
      <c r="H17" s="28" t="s">
        <v>54</v>
      </c>
    </row>
    <row r="18" ht="18" spans="1:8">
      <c r="A18" s="28">
        <v>10</v>
      </c>
      <c r="B18" s="41" t="s">
        <v>65</v>
      </c>
      <c r="C18" s="42"/>
      <c r="D18" s="31" t="s">
        <v>56</v>
      </c>
      <c r="E18" s="28"/>
      <c r="F18" s="28"/>
      <c r="G18" s="28"/>
      <c r="H18" s="28" t="s">
        <v>54</v>
      </c>
    </row>
    <row r="19" ht="18" spans="1:8">
      <c r="A19" s="28">
        <v>11</v>
      </c>
      <c r="B19" s="41" t="s">
        <v>66</v>
      </c>
      <c r="C19" s="42"/>
      <c r="D19" s="31" t="s">
        <v>56</v>
      </c>
      <c r="E19" s="28"/>
      <c r="F19" s="28"/>
      <c r="G19" s="28"/>
      <c r="H19" s="28" t="s">
        <v>54</v>
      </c>
    </row>
    <row r="20" ht="18" spans="1:8">
      <c r="A20" s="28">
        <v>12</v>
      </c>
      <c r="B20" s="41" t="s">
        <v>67</v>
      </c>
      <c r="C20" s="42"/>
      <c r="D20" s="31" t="s">
        <v>56</v>
      </c>
      <c r="E20" s="28"/>
      <c r="F20" s="28"/>
      <c r="G20" s="28"/>
      <c r="H20" s="28" t="s">
        <v>54</v>
      </c>
    </row>
    <row r="21" ht="18" spans="1:8">
      <c r="A21" s="28">
        <v>13</v>
      </c>
      <c r="B21" s="41" t="s">
        <v>68</v>
      </c>
      <c r="C21" s="42"/>
      <c r="D21" s="31" t="s">
        <v>56</v>
      </c>
      <c r="E21" s="28"/>
      <c r="F21" s="28"/>
      <c r="G21" s="28"/>
      <c r="H21" s="28" t="s">
        <v>54</v>
      </c>
    </row>
    <row r="22" ht="18" spans="1:8">
      <c r="A22" s="28">
        <v>14</v>
      </c>
      <c r="B22" s="43" t="s">
        <v>69</v>
      </c>
      <c r="C22" s="44"/>
      <c r="D22" s="31" t="s">
        <v>56</v>
      </c>
      <c r="E22" s="28"/>
      <c r="F22" s="28"/>
      <c r="G22" s="28"/>
      <c r="H22" s="28" t="s">
        <v>54</v>
      </c>
    </row>
    <row r="23" ht="18" spans="1:8">
      <c r="A23" s="28">
        <v>15</v>
      </c>
      <c r="B23" s="43" t="s">
        <v>70</v>
      </c>
      <c r="C23" s="44"/>
      <c r="D23" s="31" t="s">
        <v>56</v>
      </c>
      <c r="E23" s="28"/>
      <c r="F23" s="28"/>
      <c r="G23" s="28"/>
      <c r="H23" s="28" t="s">
        <v>54</v>
      </c>
    </row>
    <row r="24" ht="18" spans="1:8">
      <c r="A24" s="28">
        <v>16</v>
      </c>
      <c r="B24" s="43" t="s">
        <v>71</v>
      </c>
      <c r="C24" s="44"/>
      <c r="D24" s="31" t="s">
        <v>56</v>
      </c>
      <c r="E24" s="28"/>
      <c r="F24" s="28"/>
      <c r="G24" s="28"/>
      <c r="H24" s="28" t="s">
        <v>54</v>
      </c>
    </row>
    <row r="25" ht="18" spans="1:8">
      <c r="A25" s="28">
        <v>17</v>
      </c>
      <c r="B25" s="43" t="s">
        <v>72</v>
      </c>
      <c r="C25" s="44"/>
      <c r="D25" s="31" t="s">
        <v>56</v>
      </c>
      <c r="E25" s="28"/>
      <c r="F25" s="28"/>
      <c r="G25" s="28"/>
      <c r="H25" s="28" t="s">
        <v>54</v>
      </c>
    </row>
    <row r="26" ht="18" spans="1:8">
      <c r="A26" s="28">
        <v>18</v>
      </c>
      <c r="B26" s="43" t="s">
        <v>73</v>
      </c>
      <c r="C26" s="44"/>
      <c r="D26" s="31" t="s">
        <v>56</v>
      </c>
      <c r="E26" s="28"/>
      <c r="F26" s="28"/>
      <c r="G26" s="28"/>
      <c r="H26" s="28" t="s">
        <v>54</v>
      </c>
    </row>
    <row r="27" ht="18" spans="1:8">
      <c r="A27" s="28">
        <v>19</v>
      </c>
      <c r="B27" s="43" t="s">
        <v>74</v>
      </c>
      <c r="C27" s="44"/>
      <c r="D27" s="31" t="s">
        <v>56</v>
      </c>
      <c r="E27" s="28"/>
      <c r="F27" s="28"/>
      <c r="G27" s="28"/>
      <c r="H27" s="28" t="s">
        <v>54</v>
      </c>
    </row>
    <row r="28" ht="18" spans="1:8">
      <c r="A28" s="28">
        <v>20</v>
      </c>
      <c r="B28" s="43" t="s">
        <v>75</v>
      </c>
      <c r="C28" s="44"/>
      <c r="D28" s="31" t="s">
        <v>56</v>
      </c>
      <c r="E28" s="28"/>
      <c r="F28" s="28"/>
      <c r="G28" s="28"/>
      <c r="H28" s="28" t="s">
        <v>54</v>
      </c>
    </row>
    <row r="29" ht="18" spans="1:8">
      <c r="A29" s="28">
        <v>21</v>
      </c>
      <c r="B29" s="43" t="s">
        <v>76</v>
      </c>
      <c r="C29" s="44"/>
      <c r="D29" s="31" t="s">
        <v>56</v>
      </c>
      <c r="E29" s="28"/>
      <c r="F29" s="28"/>
      <c r="G29" s="28"/>
      <c r="H29" s="28" t="s">
        <v>54</v>
      </c>
    </row>
    <row r="30" ht="38.1" customHeight="1" spans="1:8">
      <c r="A30" s="28">
        <v>22</v>
      </c>
      <c r="B30" s="43" t="s">
        <v>77</v>
      </c>
      <c r="C30" s="44"/>
      <c r="D30" s="31" t="s">
        <v>56</v>
      </c>
      <c r="E30" s="28"/>
      <c r="F30" s="28"/>
      <c r="G30" s="28"/>
      <c r="H30" s="28" t="s">
        <v>54</v>
      </c>
    </row>
    <row r="31" ht="18" spans="1:8">
      <c r="A31" s="28">
        <v>23</v>
      </c>
      <c r="B31" s="43" t="s">
        <v>78</v>
      </c>
      <c r="C31" s="44"/>
      <c r="D31" s="31" t="s">
        <v>56</v>
      </c>
      <c r="E31" s="28"/>
      <c r="F31" s="28"/>
      <c r="G31" s="28"/>
      <c r="H31" s="28" t="s">
        <v>54</v>
      </c>
    </row>
    <row r="32" ht="18" spans="1:8">
      <c r="A32" s="28">
        <v>24</v>
      </c>
      <c r="B32" s="43" t="s">
        <v>79</v>
      </c>
      <c r="C32" s="44"/>
      <c r="D32" s="31" t="s">
        <v>56</v>
      </c>
      <c r="E32" s="28"/>
      <c r="F32" s="28"/>
      <c r="G32" s="28"/>
      <c r="H32" s="28" t="s">
        <v>54</v>
      </c>
    </row>
    <row r="33" ht="18" spans="1:8">
      <c r="A33" s="28">
        <v>25</v>
      </c>
      <c r="B33" s="41" t="s">
        <v>80</v>
      </c>
      <c r="C33" s="42"/>
      <c r="D33" s="31" t="s">
        <v>56</v>
      </c>
      <c r="E33" s="28"/>
      <c r="F33" s="28"/>
      <c r="G33" s="28"/>
      <c r="H33" s="28" t="s">
        <v>54</v>
      </c>
    </row>
    <row r="34" ht="18" spans="1:8">
      <c r="A34" s="28">
        <v>26</v>
      </c>
      <c r="B34" s="41" t="s">
        <v>81</v>
      </c>
      <c r="C34" s="42"/>
      <c r="D34" s="31" t="s">
        <v>56</v>
      </c>
      <c r="E34" s="28"/>
      <c r="F34" s="28"/>
      <c r="G34" s="28"/>
      <c r="H34" s="28" t="s">
        <v>54</v>
      </c>
    </row>
    <row r="35" ht="18" spans="1:8">
      <c r="A35" s="28">
        <v>27</v>
      </c>
      <c r="B35" s="41" t="s">
        <v>82</v>
      </c>
      <c r="C35" s="42"/>
      <c r="D35" s="31" t="s">
        <v>56</v>
      </c>
      <c r="E35" s="28"/>
      <c r="F35" s="28"/>
      <c r="G35" s="28"/>
      <c r="H35" s="28" t="s">
        <v>54</v>
      </c>
    </row>
    <row r="36" ht="18" spans="1:8">
      <c r="A36" s="28">
        <v>28</v>
      </c>
      <c r="B36" s="41" t="s">
        <v>83</v>
      </c>
      <c r="C36" s="42"/>
      <c r="D36" s="31" t="s">
        <v>56</v>
      </c>
      <c r="E36" s="28"/>
      <c r="F36" s="28"/>
      <c r="G36" s="28"/>
      <c r="H36" s="28" t="s">
        <v>54</v>
      </c>
    </row>
    <row r="37" ht="18" spans="1:8">
      <c r="A37" s="28">
        <v>29</v>
      </c>
      <c r="B37" s="41" t="s">
        <v>84</v>
      </c>
      <c r="C37" s="42"/>
      <c r="D37" s="31" t="s">
        <v>56</v>
      </c>
      <c r="E37" s="28"/>
      <c r="F37" s="28"/>
      <c r="G37" s="28"/>
      <c r="H37" s="28" t="s">
        <v>54</v>
      </c>
    </row>
    <row r="38" ht="18" spans="1:8">
      <c r="A38" s="28">
        <v>30</v>
      </c>
      <c r="B38" s="41" t="s">
        <v>85</v>
      </c>
      <c r="C38" s="42"/>
      <c r="D38" s="31" t="s">
        <v>56</v>
      </c>
      <c r="E38" s="28"/>
      <c r="F38" s="28"/>
      <c r="G38" s="28"/>
      <c r="H38" s="28" t="s">
        <v>54</v>
      </c>
    </row>
    <row r="39" ht="18" spans="1:8">
      <c r="A39" s="28">
        <v>31</v>
      </c>
      <c r="B39" s="41" t="s">
        <v>86</v>
      </c>
      <c r="C39" s="42"/>
      <c r="D39" s="31" t="s">
        <v>56</v>
      </c>
      <c r="E39" s="28"/>
      <c r="F39" s="28"/>
      <c r="G39" s="28"/>
      <c r="H39" s="28" t="s">
        <v>54</v>
      </c>
    </row>
    <row r="40" ht="18.95" customHeight="1" spans="1:8">
      <c r="A40" s="28">
        <v>32</v>
      </c>
      <c r="B40" s="41" t="s">
        <v>87</v>
      </c>
      <c r="C40" s="42"/>
      <c r="D40" s="31" t="s">
        <v>56</v>
      </c>
      <c r="E40" s="45"/>
      <c r="F40" s="45"/>
      <c r="G40" s="45"/>
      <c r="H40" s="28"/>
    </row>
    <row r="41" ht="18.95" customHeight="1" spans="1:8">
      <c r="A41" s="28">
        <v>33</v>
      </c>
      <c r="B41" s="41"/>
      <c r="C41" s="42"/>
      <c r="D41" s="45"/>
      <c r="E41" s="45"/>
      <c r="F41" s="45"/>
      <c r="G41" s="45"/>
      <c r="H41" s="63"/>
    </row>
    <row r="42" ht="18.95" customHeight="1" spans="1:8">
      <c r="A42" s="28">
        <v>34</v>
      </c>
      <c r="B42" s="41"/>
      <c r="C42" s="42"/>
      <c r="D42" s="45"/>
      <c r="E42" s="45"/>
      <c r="F42" s="45"/>
      <c r="G42" s="45"/>
      <c r="H42" s="63"/>
    </row>
    <row r="43" ht="18.95" customHeight="1" spans="1:8">
      <c r="A43" s="28">
        <v>35</v>
      </c>
      <c r="B43" s="41"/>
      <c r="C43" s="42"/>
      <c r="D43" s="45"/>
      <c r="E43" s="45"/>
      <c r="F43" s="45"/>
      <c r="G43" s="45"/>
      <c r="H43" s="63"/>
    </row>
    <row r="44" ht="18.95" customHeight="1" spans="1:8">
      <c r="A44" s="28"/>
      <c r="B44" s="41"/>
      <c r="C44" s="42"/>
      <c r="D44" s="45"/>
      <c r="E44" s="45"/>
      <c r="F44" s="45"/>
      <c r="G44" s="45"/>
      <c r="H44" s="63"/>
    </row>
    <row r="45" ht="18.95" customHeight="1" spans="1:8">
      <c r="A45" s="26" t="s">
        <v>88</v>
      </c>
      <c r="B45" s="46"/>
      <c r="C45" s="47"/>
      <c r="D45" s="47"/>
      <c r="E45" s="47"/>
      <c r="F45" s="47"/>
      <c r="G45" s="47"/>
      <c r="H45" s="64"/>
    </row>
    <row r="46" ht="21" customHeight="1" spans="1:8">
      <c r="A46" s="28">
        <v>1</v>
      </c>
      <c r="B46" s="41" t="s">
        <v>89</v>
      </c>
      <c r="C46" s="42"/>
      <c r="D46" s="31" t="s">
        <v>56</v>
      </c>
      <c r="E46" s="28"/>
      <c r="F46" s="28"/>
      <c r="G46" s="28"/>
      <c r="H46" s="28" t="s">
        <v>54</v>
      </c>
    </row>
    <row r="47" ht="17.1" customHeight="1" spans="1:8">
      <c r="A47" s="28">
        <v>2</v>
      </c>
      <c r="B47" s="41" t="s">
        <v>90</v>
      </c>
      <c r="C47" s="42"/>
      <c r="D47" s="31" t="s">
        <v>56</v>
      </c>
      <c r="E47" s="28"/>
      <c r="F47" s="28"/>
      <c r="G47" s="28"/>
      <c r="H47" s="28" t="s">
        <v>54</v>
      </c>
    </row>
    <row r="48" ht="32.1" customHeight="1" spans="1:8">
      <c r="A48" s="28">
        <v>3</v>
      </c>
      <c r="B48" s="41" t="s">
        <v>91</v>
      </c>
      <c r="C48" s="42"/>
      <c r="D48" s="31" t="s">
        <v>56</v>
      </c>
      <c r="E48" s="28"/>
      <c r="F48" s="28"/>
      <c r="G48" s="28"/>
      <c r="H48" s="28" t="s">
        <v>54</v>
      </c>
    </row>
    <row r="49" ht="18" spans="1:8">
      <c r="A49" s="28">
        <v>4</v>
      </c>
      <c r="B49" s="41" t="s">
        <v>92</v>
      </c>
      <c r="C49" s="42"/>
      <c r="D49" s="31" t="s">
        <v>56</v>
      </c>
      <c r="E49" s="28"/>
      <c r="F49" s="28"/>
      <c r="G49" s="28"/>
      <c r="H49" s="28" t="s">
        <v>54</v>
      </c>
    </row>
    <row r="50" ht="18" spans="1:8">
      <c r="A50" s="28">
        <v>5</v>
      </c>
      <c r="B50" s="41" t="s">
        <v>93</v>
      </c>
      <c r="C50" s="42"/>
      <c r="D50" s="31" t="s">
        <v>56</v>
      </c>
      <c r="E50" s="28"/>
      <c r="F50" s="28"/>
      <c r="G50" s="28"/>
      <c r="H50" s="28" t="s">
        <v>54</v>
      </c>
    </row>
    <row r="51" ht="18" spans="1:8">
      <c r="A51" s="28">
        <v>6</v>
      </c>
      <c r="B51" s="41" t="s">
        <v>94</v>
      </c>
      <c r="C51" s="42"/>
      <c r="D51" s="31" t="s">
        <v>56</v>
      </c>
      <c r="E51" s="28"/>
      <c r="F51" s="28"/>
      <c r="G51" s="28"/>
      <c r="H51" s="28" t="s">
        <v>54</v>
      </c>
    </row>
    <row r="52" ht="18" spans="1:8">
      <c r="A52" s="28">
        <v>7</v>
      </c>
      <c r="B52" s="48" t="s">
        <v>95</v>
      </c>
      <c r="C52" s="49"/>
      <c r="D52" s="31" t="s">
        <v>56</v>
      </c>
      <c r="E52" s="28"/>
      <c r="F52" s="28"/>
      <c r="G52" s="28"/>
      <c r="H52" s="28" t="s">
        <v>54</v>
      </c>
    </row>
    <row r="53" ht="18" spans="1:8">
      <c r="A53" s="28">
        <v>8</v>
      </c>
      <c r="B53" s="50" t="s">
        <v>96</v>
      </c>
      <c r="C53" s="50"/>
      <c r="D53" s="31" t="s">
        <v>56</v>
      </c>
      <c r="E53" s="28"/>
      <c r="F53" s="28"/>
      <c r="G53" s="28"/>
      <c r="H53" s="28" t="s">
        <v>54</v>
      </c>
    </row>
    <row r="54" ht="18" spans="1:8">
      <c r="A54" s="28">
        <v>9</v>
      </c>
      <c r="B54" s="51" t="s">
        <v>97</v>
      </c>
      <c r="C54" s="51"/>
      <c r="D54" s="31" t="s">
        <v>56</v>
      </c>
      <c r="E54" s="28"/>
      <c r="F54" s="28"/>
      <c r="G54" s="28"/>
      <c r="H54" s="28" t="s">
        <v>54</v>
      </c>
    </row>
    <row r="55" ht="18" spans="1:8">
      <c r="A55" s="28">
        <v>10</v>
      </c>
      <c r="B55" s="41" t="s">
        <v>98</v>
      </c>
      <c r="C55" s="42"/>
      <c r="D55" s="31" t="s">
        <v>56</v>
      </c>
      <c r="E55" s="28"/>
      <c r="F55" s="28"/>
      <c r="G55" s="28"/>
      <c r="H55" s="28" t="s">
        <v>54</v>
      </c>
    </row>
    <row r="56" ht="77" customHeight="1" spans="1:8">
      <c r="A56" s="28">
        <v>11</v>
      </c>
      <c r="B56" s="48" t="s">
        <v>99</v>
      </c>
      <c r="C56" s="49"/>
      <c r="D56" s="31" t="s">
        <v>56</v>
      </c>
      <c r="E56" s="28"/>
      <c r="F56" s="28"/>
      <c r="G56" s="28"/>
      <c r="H56" s="28" t="s">
        <v>54</v>
      </c>
    </row>
    <row r="57" ht="36.95" customHeight="1" spans="1:8">
      <c r="A57" s="28">
        <v>12</v>
      </c>
      <c r="B57" s="52" t="s">
        <v>100</v>
      </c>
      <c r="C57" s="50"/>
      <c r="D57" s="31" t="s">
        <v>56</v>
      </c>
      <c r="E57" s="28"/>
      <c r="F57" s="28"/>
      <c r="G57" s="28"/>
      <c r="H57" s="28" t="s">
        <v>54</v>
      </c>
    </row>
    <row r="58" ht="38.1" customHeight="1" spans="1:8">
      <c r="A58" s="28">
        <v>13</v>
      </c>
      <c r="B58" s="51" t="s">
        <v>101</v>
      </c>
      <c r="C58" s="51"/>
      <c r="D58" s="31" t="s">
        <v>56</v>
      </c>
      <c r="E58" s="28"/>
      <c r="F58" s="28"/>
      <c r="G58" s="28"/>
      <c r="H58" s="28" t="s">
        <v>54</v>
      </c>
    </row>
    <row r="59" ht="18" spans="1:8">
      <c r="A59" s="28">
        <v>14</v>
      </c>
      <c r="B59" s="41" t="s">
        <v>102</v>
      </c>
      <c r="C59" s="42"/>
      <c r="D59" s="31" t="s">
        <v>56</v>
      </c>
      <c r="E59" s="28"/>
      <c r="F59" s="28"/>
      <c r="G59" s="28"/>
      <c r="H59" s="28" t="s">
        <v>54</v>
      </c>
    </row>
    <row r="60" ht="18" spans="1:8">
      <c r="A60" s="28">
        <v>15</v>
      </c>
      <c r="B60" s="41"/>
      <c r="C60" s="42"/>
      <c r="D60" s="31" t="s">
        <v>56</v>
      </c>
      <c r="E60" s="31"/>
      <c r="F60" s="31"/>
      <c r="G60" s="31"/>
      <c r="H60" s="28" t="s">
        <v>54</v>
      </c>
    </row>
    <row r="61" spans="1:8">
      <c r="A61" s="28">
        <v>16</v>
      </c>
      <c r="B61" s="41"/>
      <c r="C61" s="42"/>
      <c r="D61" s="28"/>
      <c r="E61" s="28"/>
      <c r="F61" s="28"/>
      <c r="G61" s="28"/>
      <c r="H61" s="28"/>
    </row>
    <row r="62" spans="1:8">
      <c r="A62" s="28">
        <v>17</v>
      </c>
      <c r="B62" s="41"/>
      <c r="C62" s="42"/>
      <c r="D62" s="28"/>
      <c r="E62" s="28"/>
      <c r="F62" s="28"/>
      <c r="G62" s="28"/>
      <c r="H62" s="28"/>
    </row>
    <row r="63" spans="1:8">
      <c r="A63" s="28">
        <v>18</v>
      </c>
      <c r="B63" s="53"/>
      <c r="C63" s="53"/>
      <c r="D63" s="53"/>
      <c r="E63" s="53"/>
      <c r="F63" s="53"/>
      <c r="G63" s="28"/>
      <c r="H63" s="28"/>
    </row>
    <row r="64" spans="1:8">
      <c r="A64" s="38" t="s">
        <v>103</v>
      </c>
      <c r="B64" s="38"/>
      <c r="C64" s="38"/>
      <c r="D64" s="38"/>
      <c r="E64" s="38"/>
      <c r="F64" s="38"/>
      <c r="G64" s="38"/>
      <c r="H64" s="61">
        <f>H7</f>
        <v>155319</v>
      </c>
    </row>
    <row r="65" ht="18" spans="1:8">
      <c r="A65" s="26" t="s">
        <v>104</v>
      </c>
      <c r="B65" s="39"/>
      <c r="C65" s="40"/>
      <c r="D65" s="40"/>
      <c r="E65" s="40"/>
      <c r="F65" s="40"/>
      <c r="G65" s="40"/>
      <c r="H65" s="62"/>
    </row>
    <row r="66" spans="1:8">
      <c r="A66" s="66" t="s">
        <v>105</v>
      </c>
      <c r="B66" s="67"/>
      <c r="C66" s="67"/>
      <c r="D66" s="68"/>
      <c r="E66" s="81"/>
      <c r="F66" s="81"/>
      <c r="G66" s="81"/>
      <c r="H66" s="82"/>
    </row>
    <row r="67" spans="1:8">
      <c r="A67" s="28">
        <v>1</v>
      </c>
      <c r="B67" s="43" t="s">
        <v>106</v>
      </c>
      <c r="C67" s="44"/>
      <c r="D67" s="31" t="s">
        <v>56</v>
      </c>
      <c r="E67" s="83"/>
      <c r="F67" s="83"/>
      <c r="G67" s="83"/>
      <c r="H67" s="84"/>
    </row>
    <row r="68" ht="33.95" customHeight="1" spans="1:8">
      <c r="A68" s="28">
        <v>2</v>
      </c>
      <c r="B68" s="43" t="s">
        <v>107</v>
      </c>
      <c r="C68" s="44"/>
      <c r="D68" s="31"/>
      <c r="E68" s="83"/>
      <c r="F68" s="83"/>
      <c r="G68" s="83"/>
      <c r="H68" s="84"/>
    </row>
    <row r="69" spans="1:8">
      <c r="A69" s="28">
        <v>3</v>
      </c>
      <c r="B69" s="43" t="s">
        <v>108</v>
      </c>
      <c r="C69" s="69"/>
      <c r="D69" s="31" t="s">
        <v>56</v>
      </c>
      <c r="E69" s="83"/>
      <c r="F69" s="83"/>
      <c r="G69" s="83"/>
      <c r="H69" s="84"/>
    </row>
    <row r="70" spans="1:8">
      <c r="A70" s="28">
        <v>4</v>
      </c>
      <c r="B70" s="41" t="s">
        <v>109</v>
      </c>
      <c r="C70" s="42"/>
      <c r="D70" s="31"/>
      <c r="E70" s="83"/>
      <c r="F70" s="83"/>
      <c r="G70" s="83"/>
      <c r="H70" s="84"/>
    </row>
    <row r="71" ht="26.1" customHeight="1" spans="1:8">
      <c r="A71" s="66" t="s">
        <v>110</v>
      </c>
      <c r="B71" s="67"/>
      <c r="C71" s="67"/>
      <c r="D71" s="66"/>
      <c r="E71" s="67"/>
      <c r="F71" s="67"/>
      <c r="G71" s="66"/>
      <c r="H71" s="67"/>
    </row>
    <row r="72" ht="30.95" customHeight="1" spans="1:8">
      <c r="A72" s="66" t="s">
        <v>111</v>
      </c>
      <c r="B72" s="67"/>
      <c r="C72" s="67"/>
      <c r="D72" s="70"/>
      <c r="E72" s="81"/>
      <c r="F72" s="81"/>
      <c r="G72" s="85"/>
      <c r="H72" s="81"/>
    </row>
    <row r="73" ht="36.95" customHeight="1" spans="1:8">
      <c r="A73" s="28">
        <v>1</v>
      </c>
      <c r="B73" s="41" t="s">
        <v>112</v>
      </c>
      <c r="C73" s="42"/>
      <c r="D73" s="31"/>
      <c r="E73" s="83"/>
      <c r="F73" s="83"/>
      <c r="G73" s="83"/>
      <c r="H73" s="84"/>
    </row>
    <row r="74" ht="33" customHeight="1" spans="1:8">
      <c r="A74" s="71">
        <v>2</v>
      </c>
      <c r="B74" s="72" t="s">
        <v>113</v>
      </c>
      <c r="C74" s="42"/>
      <c r="D74" s="31"/>
      <c r="E74" s="83"/>
      <c r="F74" s="83"/>
      <c r="G74" s="83"/>
      <c r="H74" s="84"/>
    </row>
    <row r="75" ht="35.1" customHeight="1" spans="1:8">
      <c r="A75" s="71">
        <v>3</v>
      </c>
      <c r="B75" s="72" t="s">
        <v>114</v>
      </c>
      <c r="C75" s="42"/>
      <c r="D75" s="31"/>
      <c r="E75" s="83"/>
      <c r="F75" s="83"/>
      <c r="G75" s="83"/>
      <c r="H75" s="84"/>
    </row>
    <row r="76" ht="30" customHeight="1" spans="1:8">
      <c r="A76" s="71">
        <v>4</v>
      </c>
      <c r="B76" s="72" t="s">
        <v>115</v>
      </c>
      <c r="C76" s="42"/>
      <c r="D76" s="31"/>
      <c r="E76" s="83"/>
      <c r="F76" s="83"/>
      <c r="G76" s="83"/>
      <c r="H76" s="84"/>
    </row>
    <row r="77" ht="30" customHeight="1" spans="1:8">
      <c r="A77" s="71">
        <v>5</v>
      </c>
      <c r="B77" s="72" t="s">
        <v>116</v>
      </c>
      <c r="C77" s="42"/>
      <c r="D77" s="31"/>
      <c r="E77" s="83"/>
      <c r="F77" s="83"/>
      <c r="G77" s="83"/>
      <c r="H77" s="84"/>
    </row>
    <row r="78" ht="30.95" customHeight="1" spans="1:8">
      <c r="A78" s="71">
        <v>6</v>
      </c>
      <c r="B78" s="72" t="s">
        <v>117</v>
      </c>
      <c r="C78" s="42"/>
      <c r="D78" s="31"/>
      <c r="E78" s="83"/>
      <c r="F78" s="83"/>
      <c r="G78" s="83"/>
      <c r="H78" s="84"/>
    </row>
    <row r="79" ht="32.1" customHeight="1" spans="1:8">
      <c r="A79" s="71">
        <v>7</v>
      </c>
      <c r="B79" s="72" t="s">
        <v>118</v>
      </c>
      <c r="C79" s="42"/>
      <c r="D79" s="31"/>
      <c r="E79" s="83"/>
      <c r="F79" s="83"/>
      <c r="G79" s="83"/>
      <c r="H79" s="84"/>
    </row>
    <row r="80" ht="90.95" customHeight="1" spans="1:8">
      <c r="A80" s="71">
        <v>8</v>
      </c>
      <c r="B80" s="41" t="s">
        <v>119</v>
      </c>
      <c r="C80" s="42"/>
      <c r="D80" s="31"/>
      <c r="E80" s="83"/>
      <c r="F80" s="83"/>
      <c r="G80" s="83"/>
      <c r="H80" s="84"/>
    </row>
    <row r="81" ht="116.1" customHeight="1" spans="1:8">
      <c r="A81" s="71">
        <v>9</v>
      </c>
      <c r="B81" s="72" t="s">
        <v>120</v>
      </c>
      <c r="C81" s="42"/>
      <c r="D81" s="31"/>
      <c r="E81" s="83"/>
      <c r="F81" s="83"/>
      <c r="G81" s="83"/>
      <c r="H81" s="84"/>
    </row>
    <row r="82" ht="78" customHeight="1" spans="1:8">
      <c r="A82" s="28">
        <v>10</v>
      </c>
      <c r="B82" s="41" t="s">
        <v>121</v>
      </c>
      <c r="C82" s="42"/>
      <c r="D82" s="31"/>
      <c r="E82" s="83"/>
      <c r="F82" s="83"/>
      <c r="G82" s="83"/>
      <c r="H82" s="84"/>
    </row>
    <row r="83" ht="26.1" customHeight="1" spans="1:8">
      <c r="A83" s="28">
        <v>11</v>
      </c>
      <c r="B83" s="41"/>
      <c r="C83" s="42"/>
      <c r="D83" s="31"/>
      <c r="E83" s="83"/>
      <c r="F83" s="83"/>
      <c r="G83" s="83"/>
      <c r="H83" s="84"/>
    </row>
    <row r="84" ht="26.1" customHeight="1" spans="1:8">
      <c r="A84" s="28">
        <v>12</v>
      </c>
      <c r="B84" s="41"/>
      <c r="C84" s="42"/>
      <c r="D84" s="31"/>
      <c r="E84" s="83"/>
      <c r="F84" s="83"/>
      <c r="G84" s="83"/>
      <c r="H84" s="84"/>
    </row>
    <row r="85" ht="26.1" customHeight="1" spans="1:8">
      <c r="A85" s="28"/>
      <c r="B85" s="41"/>
      <c r="C85" s="42"/>
      <c r="D85" s="31"/>
      <c r="E85" s="83"/>
      <c r="F85" s="83"/>
      <c r="G85" s="83"/>
      <c r="H85" s="84"/>
    </row>
    <row r="86" ht="92.1" customHeight="1" spans="1:8">
      <c r="A86" s="66" t="s">
        <v>122</v>
      </c>
      <c r="B86" s="67"/>
      <c r="C86" s="73"/>
      <c r="D86" s="31"/>
      <c r="E86" s="83"/>
      <c r="F86" s="83"/>
      <c r="G86" s="83"/>
      <c r="H86" s="84"/>
    </row>
    <row r="87" ht="24.95" customHeight="1" spans="1:8">
      <c r="A87" s="74"/>
      <c r="B87" s="75" t="s">
        <v>123</v>
      </c>
      <c r="C87" s="76"/>
      <c r="D87" s="77"/>
      <c r="E87" s="77"/>
      <c r="F87" s="86"/>
      <c r="G87" s="87"/>
      <c r="H87" s="88">
        <f>B3+B5</f>
        <v>155319</v>
      </c>
    </row>
    <row r="88" spans="1:8">
      <c r="A88" s="78" t="s">
        <v>124</v>
      </c>
      <c r="B88" s="79"/>
      <c r="C88" s="79"/>
      <c r="D88" s="79"/>
      <c r="E88" s="79"/>
      <c r="F88" s="79"/>
      <c r="G88" s="79"/>
      <c r="H88" s="89"/>
    </row>
    <row r="89" spans="1:8">
      <c r="A89" s="80"/>
      <c r="B89" s="80"/>
      <c r="C89" s="80"/>
      <c r="D89" s="80"/>
      <c r="E89" s="80"/>
      <c r="F89" s="80"/>
      <c r="G89" s="80"/>
      <c r="H89" s="80"/>
    </row>
  </sheetData>
  <mergeCells count="91">
    <mergeCell ref="A1:H1"/>
    <mergeCell ref="B2:E2"/>
    <mergeCell ref="B3:H3"/>
    <mergeCell ref="B4:C4"/>
    <mergeCell ref="B5:H5"/>
    <mergeCell ref="B6:G6"/>
    <mergeCell ref="A7:G7"/>
    <mergeCell ref="B8:H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H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F63"/>
    <mergeCell ref="A64:G64"/>
    <mergeCell ref="B65:H65"/>
    <mergeCell ref="A66:C66"/>
    <mergeCell ref="B67:C67"/>
    <mergeCell ref="B68:C68"/>
    <mergeCell ref="B69:C69"/>
    <mergeCell ref="B70:C70"/>
    <mergeCell ref="A71:C71"/>
    <mergeCell ref="D71:F71"/>
    <mergeCell ref="G71:H71"/>
    <mergeCell ref="A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A86:C86"/>
    <mergeCell ref="B87:C87"/>
    <mergeCell ref="F87:G87"/>
    <mergeCell ref="A88:H88"/>
  </mergeCells>
  <pageMargins left="0.75" right="0.75" top="1" bottom="1" header="0.5" footer="0.5"/>
  <pageSetup paperSize="8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C18" sqref="C18"/>
    </sheetView>
  </sheetViews>
  <sheetFormatPr defaultColWidth="9.14285714285714" defaultRowHeight="17.6" outlineLevelCol="3"/>
  <cols>
    <col min="1" max="1" width="45.375" customWidth="1"/>
    <col min="2" max="2" width="61.1607142857143" customWidth="1"/>
    <col min="3" max="3" width="54.0089285714286" customWidth="1"/>
    <col min="4" max="4" width="67.8482142857143" customWidth="1"/>
  </cols>
  <sheetData>
    <row r="1" ht="18.75" spans="1:4">
      <c r="A1" s="15" t="s">
        <v>125</v>
      </c>
      <c r="B1" s="15" t="s">
        <v>126</v>
      </c>
      <c r="C1" s="15" t="s">
        <v>127</v>
      </c>
      <c r="D1" s="15" t="s">
        <v>128</v>
      </c>
    </row>
    <row r="2" ht="18.75" spans="1:4">
      <c r="A2" s="15" t="s">
        <v>129</v>
      </c>
      <c r="B2" s="16" t="s">
        <v>130</v>
      </c>
      <c r="C2" s="16" t="s">
        <v>131</v>
      </c>
      <c r="D2" s="16" t="s">
        <v>132</v>
      </c>
    </row>
    <row r="3" ht="18.75" spans="1:4">
      <c r="A3" s="15" t="s">
        <v>133</v>
      </c>
      <c r="B3" s="15" t="s">
        <v>134</v>
      </c>
      <c r="C3" s="15" t="s">
        <v>135</v>
      </c>
      <c r="D3" s="16" t="s">
        <v>136</v>
      </c>
    </row>
    <row r="4" ht="18.75" spans="1:4">
      <c r="A4" s="15" t="s">
        <v>137</v>
      </c>
      <c r="B4" s="16" t="s">
        <v>138</v>
      </c>
      <c r="C4" s="16" t="s">
        <v>139</v>
      </c>
      <c r="D4" s="16" t="s">
        <v>140</v>
      </c>
    </row>
    <row r="5" ht="18.75" spans="1:4">
      <c r="A5" s="15" t="s">
        <v>25</v>
      </c>
      <c r="B5" s="16" t="s">
        <v>141</v>
      </c>
      <c r="C5" s="16" t="s">
        <v>142</v>
      </c>
      <c r="D5" s="16" t="s">
        <v>143</v>
      </c>
    </row>
    <row r="6" ht="18.75" spans="1:4">
      <c r="A6" s="15" t="s">
        <v>144</v>
      </c>
      <c r="B6" s="16" t="s">
        <v>145</v>
      </c>
      <c r="C6" s="16" t="s">
        <v>146</v>
      </c>
      <c r="D6" s="16" t="s">
        <v>147</v>
      </c>
    </row>
    <row r="7" ht="18.75" spans="1:4">
      <c r="A7" s="15" t="s">
        <v>148</v>
      </c>
      <c r="B7" s="16" t="s">
        <v>149</v>
      </c>
      <c r="C7" s="16" t="s">
        <v>150</v>
      </c>
      <c r="D7" s="16" t="s">
        <v>151</v>
      </c>
    </row>
    <row r="8" ht="107.5" customHeight="1" spans="1:4">
      <c r="A8" s="15" t="s">
        <v>152</v>
      </c>
      <c r="B8" s="17" t="s">
        <v>153</v>
      </c>
      <c r="C8" s="17" t="s">
        <v>154</v>
      </c>
      <c r="D8" s="16" t="s">
        <v>155</v>
      </c>
    </row>
    <row r="9" ht="18.35" spans="1:4">
      <c r="A9" s="15"/>
      <c r="B9" s="18"/>
      <c r="C9" s="18"/>
      <c r="D9" s="16"/>
    </row>
    <row r="10" ht="18.75" spans="1:4">
      <c r="A10" s="15"/>
      <c r="B10" s="19" t="s">
        <v>156</v>
      </c>
      <c r="C10" s="19" t="s">
        <v>157</v>
      </c>
      <c r="D10" s="16"/>
    </row>
    <row r="11" ht="18.35" spans="1:4">
      <c r="A11" s="15"/>
      <c r="B11" s="18"/>
      <c r="C11" s="18"/>
      <c r="D11" s="16"/>
    </row>
    <row r="12" ht="18.75" spans="1:4">
      <c r="A12" s="15"/>
      <c r="B12" s="20" t="s">
        <v>158</v>
      </c>
      <c r="C12" s="20" t="s">
        <v>159</v>
      </c>
      <c r="D12" s="16"/>
    </row>
    <row r="13" ht="18.75" spans="1:4">
      <c r="A13" s="15" t="s">
        <v>160</v>
      </c>
      <c r="B13" s="15" t="s">
        <v>161</v>
      </c>
      <c r="C13" s="16" t="s">
        <v>162</v>
      </c>
      <c r="D13" s="16" t="s">
        <v>163</v>
      </c>
    </row>
    <row r="14" ht="18.75" spans="1:4">
      <c r="A14" s="15" t="s">
        <v>164</v>
      </c>
      <c r="B14" s="15" t="s">
        <v>165</v>
      </c>
      <c r="C14" s="15" t="s">
        <v>166</v>
      </c>
      <c r="D14" s="16" t="s">
        <v>167</v>
      </c>
    </row>
    <row r="15" ht="18.75" spans="1:4">
      <c r="A15" s="15" t="s">
        <v>168</v>
      </c>
      <c r="B15" s="16" t="s">
        <v>149</v>
      </c>
      <c r="C15" s="16" t="s">
        <v>169</v>
      </c>
      <c r="D15" s="16" t="s">
        <v>170</v>
      </c>
    </row>
    <row r="16" ht="107.5" customHeight="1" spans="1:4">
      <c r="A16" s="15" t="s">
        <v>171</v>
      </c>
      <c r="B16" s="17" t="s">
        <v>172</v>
      </c>
      <c r="C16" s="17" t="s">
        <v>173</v>
      </c>
      <c r="D16" s="16" t="s">
        <v>174</v>
      </c>
    </row>
    <row r="17" ht="18.35" spans="1:4">
      <c r="A17" s="15"/>
      <c r="B17" s="18"/>
      <c r="C17" s="18"/>
      <c r="D17" s="16"/>
    </row>
    <row r="18" ht="18.75" spans="1:4">
      <c r="A18" s="15"/>
      <c r="B18" s="19" t="s">
        <v>175</v>
      </c>
      <c r="C18" s="19" t="s">
        <v>176</v>
      </c>
      <c r="D18" s="16"/>
    </row>
    <row r="19" ht="18.35" spans="1:4">
      <c r="A19" s="15"/>
      <c r="B19" s="18"/>
      <c r="C19" s="18"/>
      <c r="D19" s="16"/>
    </row>
    <row r="20" ht="18.75" spans="1:4">
      <c r="A20" s="15"/>
      <c r="B20" s="21"/>
      <c r="C20" s="20" t="s">
        <v>177</v>
      </c>
      <c r="D20" s="16"/>
    </row>
  </sheetData>
  <mergeCells count="4">
    <mergeCell ref="A8:A12"/>
    <mergeCell ref="A16:A20"/>
    <mergeCell ref="D8:D12"/>
    <mergeCell ref="D16:D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workbookViewId="0">
      <selection activeCell="A15" sqref="A15"/>
    </sheetView>
  </sheetViews>
  <sheetFormatPr defaultColWidth="9.14285714285714" defaultRowHeight="17.6"/>
  <cols>
    <col min="1" max="1" width="36.4553571428571" customWidth="1"/>
    <col min="2" max="2" width="36.3035714285714" customWidth="1"/>
    <col min="3" max="3" width="65.1785714285714" customWidth="1"/>
    <col min="4" max="4" width="47.3125" customWidth="1"/>
    <col min="9" max="9" width="26.6339285714286" customWidth="1"/>
    <col min="10" max="10" width="15.9196428571429" customWidth="1"/>
    <col min="12" max="12" width="19.7857142857143" customWidth="1"/>
    <col min="13" max="13" width="16.5089285714286" customWidth="1"/>
    <col min="14" max="14" width="23.5" customWidth="1"/>
    <col min="15" max="15" width="18" customWidth="1"/>
    <col min="16" max="16" width="33.3303571428571" customWidth="1"/>
  </cols>
  <sheetData>
    <row r="1" ht="18.35" spans="1:4">
      <c r="A1" s="1" t="s">
        <v>178</v>
      </c>
      <c r="B1" s="2">
        <v>88</v>
      </c>
      <c r="C1" s="1"/>
      <c r="D1" s="1"/>
    </row>
    <row r="2" ht="18.35" spans="1:16">
      <c r="A2" s="1" t="s">
        <v>179</v>
      </c>
      <c r="B2" s="2">
        <v>65.79</v>
      </c>
      <c r="C2" s="1"/>
      <c r="D2" s="1"/>
      <c r="P2" s="14"/>
    </row>
    <row r="3" ht="18.35" spans="1:4">
      <c r="A3" s="1" t="s">
        <v>180</v>
      </c>
      <c r="B3" s="2">
        <v>58</v>
      </c>
      <c r="C3" s="1"/>
      <c r="D3" s="1"/>
    </row>
    <row r="4" ht="18.35" spans="1:4">
      <c r="A4" s="1" t="s">
        <v>181</v>
      </c>
      <c r="B4" s="2">
        <v>4.3</v>
      </c>
      <c r="C4" s="1"/>
      <c r="D4" s="1"/>
    </row>
    <row r="5" ht="18.35" spans="1:4">
      <c r="A5" s="1" t="s">
        <v>182</v>
      </c>
      <c r="B5" s="2">
        <v>30</v>
      </c>
      <c r="C5" s="1"/>
      <c r="D5" s="1"/>
    </row>
    <row r="6" ht="18.35" spans="1:4">
      <c r="A6" s="1" t="s">
        <v>183</v>
      </c>
      <c r="B6" s="2">
        <v>108</v>
      </c>
      <c r="C6" s="1"/>
      <c r="D6" s="1"/>
    </row>
    <row r="7" ht="18.35" spans="1:4">
      <c r="A7" s="1" t="s">
        <v>184</v>
      </c>
      <c r="B7" s="2">
        <v>1200</v>
      </c>
      <c r="C7" s="1"/>
      <c r="D7" s="1"/>
    </row>
    <row r="8" ht="18.35" spans="1:4">
      <c r="A8" s="1"/>
      <c r="B8" s="1"/>
      <c r="C8" s="1"/>
      <c r="D8" s="1"/>
    </row>
    <row r="9" ht="18.35" spans="1:4">
      <c r="A9" s="1"/>
      <c r="B9" s="1"/>
      <c r="C9" s="1"/>
      <c r="D9" s="1"/>
    </row>
    <row r="10" ht="18.35" spans="1:4">
      <c r="A10" s="4" t="s">
        <v>185</v>
      </c>
      <c r="B10" s="5" t="s">
        <v>186</v>
      </c>
      <c r="C10" s="5" t="s">
        <v>187</v>
      </c>
      <c r="D10" s="6" t="s">
        <v>188</v>
      </c>
    </row>
    <row r="11" ht="18.35" spans="1:4">
      <c r="A11" s="7" t="s">
        <v>189</v>
      </c>
      <c r="B11" s="8">
        <v>211348.41</v>
      </c>
      <c r="C11" s="8">
        <v>160478.66</v>
      </c>
      <c r="D11" s="9" t="s">
        <v>190</v>
      </c>
    </row>
    <row r="12" ht="18.35" spans="1:4">
      <c r="A12" s="7" t="s">
        <v>191</v>
      </c>
      <c r="B12" s="8">
        <f>B5*100</f>
        <v>3000</v>
      </c>
      <c r="C12" s="8">
        <v>0</v>
      </c>
      <c r="D12" s="9" t="s">
        <v>192</v>
      </c>
    </row>
    <row r="13" ht="18.35" spans="1:4">
      <c r="A13" s="7" t="s">
        <v>193</v>
      </c>
      <c r="B13" s="8">
        <v>0</v>
      </c>
      <c r="C13" s="8">
        <f>B3*B6</f>
        <v>6264</v>
      </c>
      <c r="D13" s="9" t="s">
        <v>194</v>
      </c>
    </row>
    <row r="14" ht="18.35" spans="1:4">
      <c r="A14" s="7" t="s">
        <v>195</v>
      </c>
      <c r="B14" s="8">
        <v>0</v>
      </c>
      <c r="C14" s="8">
        <f>C13*(0.15+0.0341)</f>
        <v>1153.2024</v>
      </c>
      <c r="D14" s="9" t="s">
        <v>196</v>
      </c>
    </row>
    <row r="15" ht="18.35" spans="1:4">
      <c r="A15" s="7" t="s">
        <v>197</v>
      </c>
      <c r="B15" s="8">
        <v>0</v>
      </c>
      <c r="C15" s="8">
        <f>B4*B7</f>
        <v>5160</v>
      </c>
      <c r="D15" s="9" t="s">
        <v>198</v>
      </c>
    </row>
    <row r="16" ht="18.35" spans="1:4">
      <c r="A16" s="7" t="s">
        <v>199</v>
      </c>
      <c r="B16" s="8">
        <v>0</v>
      </c>
      <c r="C16" s="8">
        <v>15000</v>
      </c>
      <c r="D16" s="9" t="s">
        <v>200</v>
      </c>
    </row>
    <row r="17" ht="18.35" spans="1:4">
      <c r="A17" s="7" t="s">
        <v>201</v>
      </c>
      <c r="B17" s="8">
        <v>0</v>
      </c>
      <c r="C17" s="8">
        <v>10000</v>
      </c>
      <c r="D17" s="9" t="s">
        <v>202</v>
      </c>
    </row>
    <row r="18" ht="18.35" spans="1:4">
      <c r="A18" s="7" t="s">
        <v>203</v>
      </c>
      <c r="B18" s="8">
        <f>SUM(B11:B17)</f>
        <v>214348.41</v>
      </c>
      <c r="C18" s="8">
        <f>SUM(C11:C17)</f>
        <v>198055.8624</v>
      </c>
      <c r="D18" s="9" t="s">
        <v>204</v>
      </c>
    </row>
    <row r="19" ht="18.35" spans="1:4">
      <c r="A19" s="10" t="s">
        <v>205</v>
      </c>
      <c r="B19" s="11">
        <f>B18-C18</f>
        <v>16292.5476</v>
      </c>
      <c r="C19" s="12"/>
      <c r="D19" s="13" t="s">
        <v>206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P27" sqref="P27"/>
    </sheetView>
  </sheetViews>
  <sheetFormatPr defaultColWidth="9.14285714285714" defaultRowHeight="17.6" outlineLevelCol="3"/>
  <cols>
    <col min="1" max="1" width="54.3035714285714" customWidth="1"/>
    <col min="2" max="2" width="39.7321428571429" customWidth="1"/>
    <col min="3" max="3" width="31.8392857142857" customWidth="1"/>
    <col min="4" max="4" width="44.1875" customWidth="1"/>
  </cols>
  <sheetData>
    <row r="1" ht="18.35" spans="1:4">
      <c r="A1" s="1" t="s">
        <v>178</v>
      </c>
      <c r="B1" s="2">
        <v>88</v>
      </c>
      <c r="C1" s="1"/>
      <c r="D1" s="1"/>
    </row>
    <row r="2" ht="18.35" spans="1:4">
      <c r="A2" s="1" t="s">
        <v>179</v>
      </c>
      <c r="B2" s="2">
        <v>65.79</v>
      </c>
      <c r="C2" s="1"/>
      <c r="D2" s="1"/>
    </row>
    <row r="3" ht="18.35" spans="1:4">
      <c r="A3" s="1" t="s">
        <v>180</v>
      </c>
      <c r="B3" s="2">
        <v>58</v>
      </c>
      <c r="C3" s="1"/>
      <c r="D3" s="1"/>
    </row>
    <row r="4" ht="18.35" spans="1:4">
      <c r="A4" s="1" t="s">
        <v>207</v>
      </c>
      <c r="B4" s="2">
        <v>12.3</v>
      </c>
      <c r="C4" s="1"/>
      <c r="D4" s="1"/>
    </row>
    <row r="5" ht="18.35" spans="1:4">
      <c r="A5" s="1" t="s">
        <v>208</v>
      </c>
      <c r="B5" s="2">
        <v>8</v>
      </c>
      <c r="C5" s="1"/>
      <c r="D5" s="1"/>
    </row>
    <row r="6" ht="18.35" spans="1:4">
      <c r="A6" s="1" t="s">
        <v>209</v>
      </c>
      <c r="B6" s="2">
        <v>0.73</v>
      </c>
      <c r="C6" s="1"/>
      <c r="D6" s="1"/>
    </row>
    <row r="7" ht="18.35" spans="1:4">
      <c r="A7" s="1" t="s">
        <v>182</v>
      </c>
      <c r="B7" s="2">
        <v>30</v>
      </c>
      <c r="C7" s="1"/>
      <c r="D7" s="1"/>
    </row>
    <row r="8" ht="18.35" spans="1:4">
      <c r="A8" s="1" t="s">
        <v>183</v>
      </c>
      <c r="B8" s="2">
        <v>108</v>
      </c>
      <c r="C8" s="1"/>
      <c r="D8" s="1"/>
    </row>
    <row r="9" ht="18.35" spans="1:4">
      <c r="A9" s="1" t="s">
        <v>210</v>
      </c>
      <c r="B9" s="2">
        <v>1200</v>
      </c>
      <c r="C9" s="1"/>
      <c r="D9" s="1"/>
    </row>
    <row r="10" ht="18.35" spans="1:4">
      <c r="A10" s="1"/>
      <c r="B10" s="1"/>
      <c r="C10" s="1"/>
      <c r="D10" s="1"/>
    </row>
    <row r="11" ht="18.35" spans="1:4">
      <c r="A11" s="1" t="s">
        <v>185</v>
      </c>
      <c r="B11" s="3" t="s">
        <v>186</v>
      </c>
      <c r="C11" s="1" t="s">
        <v>187</v>
      </c>
      <c r="D11" s="1" t="s">
        <v>211</v>
      </c>
    </row>
    <row r="12" ht="18.35" spans="1:4">
      <c r="A12" s="3" t="s">
        <v>189</v>
      </c>
      <c r="B12" s="2">
        <v>211348.41</v>
      </c>
      <c r="C12" s="2">
        <v>160478.66</v>
      </c>
      <c r="D12" s="3" t="s">
        <v>190</v>
      </c>
    </row>
    <row r="13" ht="18.35" spans="1:4">
      <c r="A13" s="1" t="s">
        <v>191</v>
      </c>
      <c r="B13" s="2">
        <v>3000</v>
      </c>
      <c r="C13" s="2">
        <v>0</v>
      </c>
      <c r="D13" s="1" t="s">
        <v>212</v>
      </c>
    </row>
    <row r="14" ht="18.35" spans="1:4">
      <c r="A14" s="1" t="s">
        <v>193</v>
      </c>
      <c r="B14" s="2">
        <v>0</v>
      </c>
      <c r="C14" s="2">
        <v>6264</v>
      </c>
      <c r="D14" s="3" t="s">
        <v>194</v>
      </c>
    </row>
    <row r="15" ht="18.35" spans="1:4">
      <c r="A15" s="1" t="s">
        <v>195</v>
      </c>
      <c r="B15" s="2">
        <v>0</v>
      </c>
      <c r="C15" s="2">
        <v>1153.2024</v>
      </c>
      <c r="D15" s="3" t="s">
        <v>213</v>
      </c>
    </row>
    <row r="16" ht="18.35" spans="1:4">
      <c r="A16" s="1" t="s">
        <v>214</v>
      </c>
      <c r="B16" s="2">
        <v>0</v>
      </c>
      <c r="C16" s="2">
        <v>7752</v>
      </c>
      <c r="D16" s="3" t="s">
        <v>215</v>
      </c>
    </row>
    <row r="17" ht="18.35" spans="1:4">
      <c r="A17" s="1" t="s">
        <v>199</v>
      </c>
      <c r="B17" s="2">
        <v>0</v>
      </c>
      <c r="C17" s="2">
        <v>15000</v>
      </c>
      <c r="D17" s="3" t="s">
        <v>216</v>
      </c>
    </row>
    <row r="18" ht="18.35" spans="1:4">
      <c r="A18" s="1" t="s">
        <v>201</v>
      </c>
      <c r="B18" s="2">
        <v>0</v>
      </c>
      <c r="C18" s="2">
        <v>10000</v>
      </c>
      <c r="D18" s="3" t="s">
        <v>202</v>
      </c>
    </row>
    <row r="19" ht="18.35" spans="1:4">
      <c r="A19" s="1" t="s">
        <v>203</v>
      </c>
      <c r="B19" s="2">
        <v>214348.41</v>
      </c>
      <c r="C19" s="2">
        <v>200647.8624</v>
      </c>
      <c r="D19" s="3" t="s">
        <v>204</v>
      </c>
    </row>
    <row r="20" ht="18.35" spans="1:4">
      <c r="A20" s="1" t="s">
        <v>205</v>
      </c>
      <c r="B20" s="2">
        <v>13700.5476</v>
      </c>
      <c r="C20" s="1"/>
      <c r="D20" s="3" t="s">
        <v>206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yz</Company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报价汇总</vt:lpstr>
      <vt:lpstr>M3补息版65.78平   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yuanzhou</dc:creator>
  <cp:lastModifiedBy>提莫快跑</cp:lastModifiedBy>
  <cp:revision>1</cp:revision>
  <dcterms:created xsi:type="dcterms:W3CDTF">2005-02-23T04:32:48Z</dcterms:created>
  <cp:lastPrinted>2016-10-23T01:41:44Z</cp:lastPrinted>
  <dcterms:modified xsi:type="dcterms:W3CDTF">2026-06-23T10:33:13Z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F8289B4636EEB69164F0396A31A5ABB5_43</vt:lpwstr>
  </property>
  <property fmtid="{D5CDD505-2E9C-101B-9397-08002B2CF9AE}" pid="4" name="CalculationRule">
    <vt:r8>0</vt:r8>
  </property>
</Properties>
</file>